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19200" windowHeight="7900" activeTab="2"/>
  </bookViews>
  <sheets>
    <sheet name="bike_buyers" sheetId="1" r:id="rId1"/>
    <sheet name="working sheet" sheetId="2" r:id="rId2"/>
    <sheet name="pivot table" sheetId="3" r:id="rId3"/>
    <sheet name="Dashboard" sheetId="6"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<sst xmlns="http://schemas.openxmlformats.org/spreadsheetml/2006/main" count="16267" uniqueCount="50">
  <si>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</si>
  <si>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</si>
  <si>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</si>
  <si>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</si>
  <si>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</si>
  <si>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</si>
  <si>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</si>
  <si>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</si>
  <si>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</si>
  <si>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</si>
  <si>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</si>
  <si>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</si>
  <si>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</si>
  <si>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</si>
  <si>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</si>
  <si>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</si>
  <si>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</si>
  <si>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</si>
  <si>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</si>
  <si>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</si>
  <si>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</si>
  <si>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</si>
  <si>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</si>
  <si>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</si>
  <si>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</si>
  <si>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</si>
  <si>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</si>
  <si>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</si>
  <si>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</si>
  <si>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</si>
  <si>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</si>
  <si>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</si>
  <si>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</si>
  <si>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</si>
  <si>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</si>
  <si>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</si>
  <si>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</si>
  <si>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</si>
  <si>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</si>
  <si>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</si>
  <si>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</si>
  <si>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Grand Total</t>
  </si>
  <si>
    <t>Column Labels</t>
  </si>
  <si>
    <t>Average of Income</t>
  </si>
  <si>
    <t>Count of Purchased Bike</t>
  </si>
  <si>
    <t>More than 10 Miles</t>
  </si>
  <si>
    <t>Middle age</t>
  </si>
  <si>
    <t>Old</t>
  </si>
  <si>
    <t>BIKES SALES DASHBOARD</t>
  </si>
  <si>
    <t>Adolscent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</si>
</sst>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2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 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 And Purchase</a:t>
            </a:r>
          </a:p>
          <a:p>
            <a:pPr>
              <a:defRPr/>
            </a:pPr>
            <a:endParaRPr lang="en-US"/>
          </a:p>
        </c:rich>
      </c:tx>
      <c:layout>
        <c:manualLayout>
          <c:xMode val="edge"/>
          <c:yMode val="edge"/>
          <c:x val="0.13172993690358242"/>
          <c:y val="8.5927485808459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9488136830578298"/>
          <c:y val="0.23813678813404135"/>
          <c:w val="0.51703916149554152"/>
          <c:h val="0.47472486724043222"/>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34486904"/>
        <c:axId val="34484552"/>
      </c:barChart>
      <c:catAx>
        <c:axId val="34486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4552"/>
        <c:crosses val="autoZero"/>
        <c:auto val="1"/>
        <c:lblAlgn val="ctr"/>
        <c:lblOffset val="100"/>
        <c:noMultiLvlLbl val="0"/>
      </c:catAx>
      <c:valAx>
        <c:axId val="34484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6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 analysis.xlsx]pivot table!PivotTable2</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Yes</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200</c:v>
                </c:pt>
                <c:pt idx="1">
                  <c:v>77</c:v>
                </c:pt>
                <c:pt idx="2">
                  <c:v>95</c:v>
                </c:pt>
                <c:pt idx="3">
                  <c:v>76</c:v>
                </c:pt>
                <c:pt idx="4">
                  <c:v>33</c:v>
                </c:pt>
              </c:numCache>
            </c:numRef>
          </c:val>
          <c:smooth val="0"/>
        </c:ser>
        <c:ser>
          <c:idx val="1"/>
          <c:order val="1"/>
          <c:tx>
            <c:strRef>
              <c:f>'pivot table'!$C$15:$C$16</c:f>
              <c:strCache>
                <c:ptCount val="1"/>
                <c:pt idx="0">
                  <c:v>No</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166</c:v>
                </c:pt>
                <c:pt idx="1">
                  <c:v>92</c:v>
                </c:pt>
                <c:pt idx="2">
                  <c:v>67</c:v>
                </c:pt>
                <c:pt idx="3">
                  <c:v>116</c:v>
                </c:pt>
                <c:pt idx="4">
                  <c:v>78</c:v>
                </c:pt>
              </c:numCache>
            </c:numRef>
          </c:val>
          <c:smooth val="0"/>
        </c:ser>
        <c:dLbls>
          <c:showLegendKey val="0"/>
          <c:showVal val="0"/>
          <c:showCatName val="0"/>
          <c:showSerName val="0"/>
          <c:showPercent val="0"/>
          <c:showBubbleSize val="0"/>
        </c:dLbls>
        <c:smooth val="0"/>
        <c:axId val="441157208"/>
        <c:axId val="441158776"/>
      </c:lineChart>
      <c:catAx>
        <c:axId val="44115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58776"/>
        <c:crosses val="autoZero"/>
        <c:auto val="1"/>
        <c:lblAlgn val="ctr"/>
        <c:lblOffset val="100"/>
        <c:noMultiLvlLbl val="0"/>
      </c:catAx>
      <c:valAx>
        <c:axId val="441158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57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 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 </a:t>
            </a:r>
            <a:r>
              <a:rPr lang="en-US"/>
              <a:t>Bike</a:t>
            </a:r>
            <a:r>
              <a:rPr lang="en-US" baseline="0"/>
              <a:t>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Adolscent</c:v>
                </c:pt>
                <c:pt idx="1">
                  <c:v>Middle age</c:v>
                </c:pt>
                <c:pt idx="2">
                  <c:v>Old</c:v>
                </c:pt>
              </c:strCache>
            </c:strRef>
          </c:cat>
          <c:val>
            <c:numRef>
              <c:f>'pivot table'!$B$35:$B$38</c:f>
              <c:numCache>
                <c:formatCode>General</c:formatCode>
                <c:ptCount val="3"/>
                <c:pt idx="0">
                  <c:v>71</c:v>
                </c:pt>
                <c:pt idx="1">
                  <c:v>318</c:v>
                </c:pt>
                <c:pt idx="2">
                  <c:v>130</c:v>
                </c:pt>
              </c:numCache>
            </c:numRef>
          </c:val>
          <c:smooth val="0"/>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Adolscent</c:v>
                </c:pt>
                <c:pt idx="1">
                  <c:v>Middle age</c:v>
                </c:pt>
                <c:pt idx="2">
                  <c:v>Old</c:v>
                </c:pt>
              </c:strCache>
            </c:strRef>
          </c:cat>
          <c:val>
            <c:numRef>
              <c:f>'pivot table'!$C$35:$C$38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441157992"/>
        <c:axId val="436400664"/>
      </c:lineChart>
      <c:catAx>
        <c:axId val="441157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layout>
            <c:manualLayout>
              <c:xMode val="edge"/>
              <c:yMode val="edge"/>
              <c:x val="0.38939457567804026"/>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00664"/>
        <c:crosses val="autoZero"/>
        <c:auto val="1"/>
        <c:lblAlgn val="ctr"/>
        <c:lblOffset val="100"/>
        <c:noMultiLvlLbl val="0"/>
      </c:catAx>
      <c:valAx>
        <c:axId val="436400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579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 analysis.xlsx]pivot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By Gender And Purchase</a:t>
            </a:r>
          </a:p>
          <a:p>
            <a:pPr>
              <a:defRPr/>
            </a:pPr>
            <a:endParaRPr lang="en-US"/>
          </a:p>
        </c:rich>
      </c:tx>
      <c:layout>
        <c:manualLayout>
          <c:xMode val="edge"/>
          <c:yMode val="edge"/>
          <c:x val="0.13172993690358242"/>
          <c:y val="8.59274858084599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9488136830578298"/>
          <c:y val="0.23813678813404135"/>
          <c:w val="0.51703916149554152"/>
          <c:h val="0.47472486724043222"/>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ser>
        <c:dLbls>
          <c:showLegendKey val="0"/>
          <c:showVal val="0"/>
          <c:showCatName val="0"/>
          <c:showSerName val="0"/>
          <c:showPercent val="0"/>
          <c:showBubbleSize val="0"/>
        </c:dLbls>
        <c:gapWidth val="219"/>
        <c:overlap val="-27"/>
        <c:axId val="436401448"/>
        <c:axId val="162758392"/>
      </c:barChart>
      <c:catAx>
        <c:axId val="436401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8392"/>
        <c:crosses val="autoZero"/>
        <c:auto val="1"/>
        <c:lblAlgn val="ctr"/>
        <c:lblOffset val="100"/>
        <c:noMultiLvlLbl val="0"/>
      </c:catAx>
      <c:valAx>
        <c:axId val="162758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401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 analysis.xlsx]pivot table!PivotTable2</c:name>
    <c:fmtId val="6"/>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Yes</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200</c:v>
                </c:pt>
                <c:pt idx="1">
                  <c:v>77</c:v>
                </c:pt>
                <c:pt idx="2">
                  <c:v>95</c:v>
                </c:pt>
                <c:pt idx="3">
                  <c:v>76</c:v>
                </c:pt>
                <c:pt idx="4">
                  <c:v>33</c:v>
                </c:pt>
              </c:numCache>
            </c:numRef>
          </c:val>
          <c:smooth val="0"/>
        </c:ser>
        <c:ser>
          <c:idx val="1"/>
          <c:order val="1"/>
          <c:tx>
            <c:strRef>
              <c:f>'pivot table'!$C$15:$C$16</c:f>
              <c:strCache>
                <c:ptCount val="1"/>
                <c:pt idx="0">
                  <c:v>No</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166</c:v>
                </c:pt>
                <c:pt idx="1">
                  <c:v>92</c:v>
                </c:pt>
                <c:pt idx="2">
                  <c:v>67</c:v>
                </c:pt>
                <c:pt idx="3">
                  <c:v>116</c:v>
                </c:pt>
                <c:pt idx="4">
                  <c:v>78</c:v>
                </c:pt>
              </c:numCache>
            </c:numRef>
          </c:val>
          <c:smooth val="0"/>
        </c:ser>
        <c:dLbls>
          <c:showLegendKey val="0"/>
          <c:showVal val="0"/>
          <c:showCatName val="0"/>
          <c:showSerName val="0"/>
          <c:showPercent val="0"/>
          <c:showBubbleSize val="0"/>
        </c:dLbls>
        <c:smooth val="0"/>
        <c:axId val="338561832"/>
        <c:axId val="340146648"/>
      </c:lineChart>
      <c:catAx>
        <c:axId val="338561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146648"/>
        <c:crosses val="autoZero"/>
        <c:auto val="1"/>
        <c:lblAlgn val="ctr"/>
        <c:lblOffset val="100"/>
        <c:noMultiLvlLbl val="0"/>
      </c:catAx>
      <c:valAx>
        <c:axId val="340146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61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dashboard analysis.xlsx]pivot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 </a:t>
            </a:r>
            <a:r>
              <a:rPr lang="en-US"/>
              <a:t>Bike</a:t>
            </a:r>
            <a:r>
              <a:rPr lang="en-US" baseline="0"/>
              <a:t> Purchase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Adolscent</c:v>
                </c:pt>
                <c:pt idx="1">
                  <c:v>Middle age</c:v>
                </c:pt>
                <c:pt idx="2">
                  <c:v>Old</c:v>
                </c:pt>
              </c:strCache>
            </c:strRef>
          </c:cat>
          <c:val>
            <c:numRef>
              <c:f>'pivot table'!$B$35:$B$38</c:f>
              <c:numCache>
                <c:formatCode>General</c:formatCode>
                <c:ptCount val="3"/>
                <c:pt idx="0">
                  <c:v>71</c:v>
                </c:pt>
                <c:pt idx="1">
                  <c:v>318</c:v>
                </c:pt>
                <c:pt idx="2">
                  <c:v>130</c:v>
                </c:pt>
              </c:numCache>
            </c:numRef>
          </c:val>
          <c:smooth val="0"/>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Adolscent</c:v>
                </c:pt>
                <c:pt idx="1">
                  <c:v>Middle age</c:v>
                </c:pt>
                <c:pt idx="2">
                  <c:v>Old</c:v>
                </c:pt>
              </c:strCache>
            </c:strRef>
          </c:cat>
          <c:val>
            <c:numRef>
              <c:f>'pivot table'!$C$35:$C$38</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485155104"/>
        <c:axId val="485154712"/>
      </c:lineChart>
      <c:catAx>
        <c:axId val="48515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a:p>
                <a:pPr>
                  <a:defRPr/>
                </a:pPr>
                <a:endParaRPr lang="en-US"/>
              </a:p>
            </c:rich>
          </c:tx>
          <c:layout>
            <c:manualLayout>
              <c:xMode val="edge"/>
              <c:yMode val="edge"/>
              <c:x val="0.38939457567804026"/>
              <c:y val="0.79636774569845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54712"/>
        <c:crosses val="autoZero"/>
        <c:auto val="1"/>
        <c:lblAlgn val="ctr"/>
        <c:lblOffset val="100"/>
        <c:noMultiLvlLbl val="0"/>
      </c:catAx>
      <c:valAx>
        <c:axId val="485154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55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19050</xdr:rowOff>
    </xdr:from>
    <xdr:to>
      <xdr:col>9</xdr:col>
      <xdr:colOff>393700</xdr:colOff>
      <xdr:row>11</xdr:row>
      <xdr:rowOff>177800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14</xdr:row>
      <xdr:rowOff>165100</xdr:rowOff>
    </xdr:from>
    <xdr:to>
      <xdr:col>9</xdr:col>
      <xdr:colOff>355600</xdr:colOff>
      <xdr:row>29</xdr:row>
      <xdr:rowOff>146050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32</xdr:row>
      <xdr:rowOff>0</xdr:rowOff>
    </xdr:from>
    <xdr:to>
      <xdr:col>10</xdr:col>
      <xdr:colOff>419100</xdr:colOff>
      <xdr:row>46</xdr:row>
      <xdr:rowOff>165100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241300</xdr:colOff>
      <xdr:row>4</xdr:row>
      <xdr:rowOff>0</xdr:rowOff>
    </xdr:from>
    <xdr:to>
      <xdr:col>8</xdr:col>
      <xdr:colOff>419100</xdr:colOff>
      <xdr:row>15</xdr:row>
      <xdr:rowOff>158750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15</xdr:row>
      <xdr:rowOff>177800</xdr:rowOff>
    </xdr:from>
    <xdr:to>
      <xdr:col>15</xdr:col>
      <xdr:colOff>6350</xdr:colOff>
      <xdr:row>28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431800</xdr:colOff>
      <xdr:row>3</xdr:row>
      <xdr:rowOff>177800</xdr:rowOff>
    </xdr:from>
    <xdr:to>
      <xdr:col>14</xdr:col>
      <xdr:colOff>584200</xdr:colOff>
      <xdr:row>15</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19051</xdr:rowOff>
    </xdr:from>
    <xdr:to>
      <xdr:col>2</xdr:col>
      <xdr:colOff>228600</xdr:colOff>
      <xdr:row>9</xdr:row>
      <xdr:rowOff>127001</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01701"/>
              <a:ext cx="1447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171451</xdr:rowOff>
    </xdr:from>
    <xdr:to>
      <xdr:col>2</xdr:col>
      <xdr:colOff>215900</xdr:colOff>
      <xdr:row>16</xdr:row>
      <xdr:rowOff>95250</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74851"/>
              <a:ext cx="1435100" cy="1212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165101</xdr:rowOff>
    </xdr:from>
    <xdr:to>
      <xdr:col>2</xdr:col>
      <xdr:colOff>209550</xdr:colOff>
      <xdr:row>26</xdr:row>
      <xdr:rowOff>158751</xdr:rowOff>
    </xdr:to>
    <mc:AlternateContent xmlns:mc="http://schemas.openxmlformats.org/markup-compatibility/2006" xmlns:a14="http://schemas.microsoft.com/office/drawing/2010/main">
      <mc:Choice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7551"/>
              <a:ext cx="1428750" cy="183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0.587807754629" createdVersion="5" refreshedVersion="5"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Age Bracket">
  <location ref="A33:D3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Commute Distance">
  <location ref="A15:D2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Gender">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Region" cache="Slicer_Region" caption="Region" rowHeight="241300"/>
  <slicer name="Education" cache="Slicer_Education" caption="Education" rowHeight="241300"/>
</slicers>
</file>

<file path=xl/tables/table1.xml><?xml version="1.0" encoding="utf-8"?>
<table xmlns="http://schemas.openxmlformats.org/spreadsheetml/2006/main" id="1" name="Table1" displayName="Table1" ref="A1:N1001" totalsRowShown="0">
  <autoFilter ref="A1:N1001"/>
  <tableColumns count="14">
    <tableColumn id="1" name="ID"/>
    <tableColumn id="2" name="Marital Status"/>
    <tableColumn id="3" name="Gender"/>
    <tableColumn id="4" name="Income" dataDxfId="5"/>
    <tableColumn id="5" name="Children"/>
    <tableColumn id="6" name="Education"/>
    <tableColumn id="7" name="Occupation"/>
    <tableColumn id="8" name="Home Owner"/>
    <tableColumn id="9" name="Cars"/>
    <tableColumn id="10" name="Commute Distance"/>
    <tableColumn id="11" name="Region"/>
    <tableColumn id="12" name="Age"/>
    <tableColumn id="14" name="Age Bracket" dataDxfId="4">
      <calculatedColumnFormula>IF(L2&gt;54,"Old",IF(L2&gt;=31,"Middle age",IF(L2&lt;31,"Adolscent")))</calculatedColumnFormula>
    </tableColumn>
    <tableColumn id="1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2" workbookViewId="0">
      <selection activeCell="E14" sqref="E14"/>
    </sheetView>
  </sheetViews>
  <sheetFormatPr defaultColWidth="11.90625" defaultRowHeight="14.5" x14ac:dyDescent="0.35"/>
  <cols>
    <col min="2" max="3" width="14.6328125" customWidth="1"/>
    <col min="7" max="7" width="12.36328125" customWidth="1"/>
    <col min="8" max="8" width="13.90625" customWidth="1"/>
    <col min="10" max="10" width="18.7265625" customWidth="1"/>
    <col min="13" max="13" width="14.36328125" customWidth="1"/>
    <col min="14" max="14" width="15.5429687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 t="shared" ref="M2:M65" si="0">IF(L2&gt;54,"Old",IF(L2&gt;=31,"Middle age",IF(L2&lt;31,"Adolscent")))</f>
        <v>Middle age</v>
      </c>
      <c r="N2" t="s">
        <v>18</v>
      </c>
    </row>
    <row r="3" spans="1:14" x14ac:dyDescent="0.35">
      <c r="A3">
        <v>24107</v>
      </c>
      <c r="B3" t="s">
        <v>36</v>
      </c>
      <c r="C3" t="s">
        <v>39</v>
      </c>
      <c r="D3" s="1">
        <v>30000</v>
      </c>
      <c r="E3">
        <v>3</v>
      </c>
      <c r="F3" t="s">
        <v>19</v>
      </c>
      <c r="G3" t="s">
        <v>20</v>
      </c>
      <c r="H3" t="s">
        <v>15</v>
      </c>
      <c r="I3">
        <v>1</v>
      </c>
      <c r="J3" t="s">
        <v>16</v>
      </c>
      <c r="K3" t="s">
        <v>17</v>
      </c>
      <c r="L3">
        <v>43</v>
      </c>
      <c r="M3" t="str">
        <f t="shared" si="0"/>
        <v>Middle age</v>
      </c>
      <c r="N3" t="s">
        <v>18</v>
      </c>
    </row>
    <row r="4" spans="1:14" x14ac:dyDescent="0.35">
      <c r="A4">
        <v>14177</v>
      </c>
      <c r="B4" t="s">
        <v>36</v>
      </c>
      <c r="C4" t="s">
        <v>39</v>
      </c>
      <c r="D4" s="1">
        <v>80000</v>
      </c>
      <c r="E4">
        <v>5</v>
      </c>
      <c r="F4" t="s">
        <v>19</v>
      </c>
      <c r="G4" t="s">
        <v>21</v>
      </c>
      <c r="H4" t="s">
        <v>18</v>
      </c>
      <c r="I4">
        <v>2</v>
      </c>
      <c r="J4" t="s">
        <v>22</v>
      </c>
      <c r="K4" t="s">
        <v>17</v>
      </c>
      <c r="L4">
        <v>60</v>
      </c>
      <c r="M4" t="str">
        <f t="shared" si="0"/>
        <v>Old</v>
      </c>
      <c r="N4" t="s">
        <v>18</v>
      </c>
    </row>
    <row r="5" spans="1:14" x14ac:dyDescent="0.35">
      <c r="A5">
        <v>24381</v>
      </c>
      <c r="B5" t="s">
        <v>37</v>
      </c>
      <c r="C5" t="s">
        <v>39</v>
      </c>
      <c r="D5" s="1">
        <v>70000</v>
      </c>
      <c r="E5">
        <v>0</v>
      </c>
      <c r="F5" t="s">
        <v>13</v>
      </c>
      <c r="G5" t="s">
        <v>21</v>
      </c>
      <c r="H5" t="s">
        <v>15</v>
      </c>
      <c r="I5">
        <v>1</v>
      </c>
      <c r="J5" t="s">
        <v>23</v>
      </c>
      <c r="K5" t="s">
        <v>24</v>
      </c>
      <c r="L5">
        <v>41</v>
      </c>
      <c r="M5" t="str">
        <f t="shared" si="0"/>
        <v>Middle age</v>
      </c>
      <c r="N5" t="s">
        <v>15</v>
      </c>
    </row>
    <row r="6" spans="1:14" x14ac:dyDescent="0.35">
      <c r="A6">
        <v>25597</v>
      </c>
      <c r="B6" t="s">
        <v>37</v>
      </c>
      <c r="C6" t="s">
        <v>39</v>
      </c>
      <c r="D6" s="1">
        <v>30000</v>
      </c>
      <c r="E6">
        <v>0</v>
      </c>
      <c r="F6" t="s">
        <v>13</v>
      </c>
      <c r="G6" t="s">
        <v>20</v>
      </c>
      <c r="H6" t="s">
        <v>18</v>
      </c>
      <c r="I6">
        <v>0</v>
      </c>
      <c r="J6" t="s">
        <v>16</v>
      </c>
      <c r="K6" t="s">
        <v>17</v>
      </c>
      <c r="L6">
        <v>36</v>
      </c>
      <c r="M6" t="str">
        <f t="shared" si="0"/>
        <v>Middle age</v>
      </c>
      <c r="N6" t="s">
        <v>15</v>
      </c>
    </row>
    <row r="7" spans="1:14" x14ac:dyDescent="0.35">
      <c r="A7">
        <v>13507</v>
      </c>
      <c r="B7" t="s">
        <v>36</v>
      </c>
      <c r="C7" t="s">
        <v>38</v>
      </c>
      <c r="D7" s="1">
        <v>10000</v>
      </c>
      <c r="E7">
        <v>2</v>
      </c>
      <c r="F7" t="s">
        <v>19</v>
      </c>
      <c r="G7" t="s">
        <v>25</v>
      </c>
      <c r="H7" t="s">
        <v>15</v>
      </c>
      <c r="I7">
        <v>0</v>
      </c>
      <c r="J7" t="s">
        <v>26</v>
      </c>
      <c r="K7" t="s">
        <v>17</v>
      </c>
      <c r="L7">
        <v>50</v>
      </c>
      <c r="M7" t="str">
        <f t="shared" si="0"/>
        <v>Middle age</v>
      </c>
      <c r="N7" t="s">
        <v>18</v>
      </c>
    </row>
    <row r="8" spans="1:14" x14ac:dyDescent="0.35">
      <c r="A8">
        <v>27974</v>
      </c>
      <c r="B8" t="s">
        <v>37</v>
      </c>
      <c r="C8" t="s">
        <v>39</v>
      </c>
      <c r="D8" s="1">
        <v>160000</v>
      </c>
      <c r="E8">
        <v>2</v>
      </c>
      <c r="F8" t="s">
        <v>27</v>
      </c>
      <c r="G8" t="s">
        <v>28</v>
      </c>
      <c r="H8" t="s">
        <v>15</v>
      </c>
      <c r="I8">
        <v>4</v>
      </c>
      <c r="J8" t="s">
        <v>16</v>
      </c>
      <c r="K8" t="s">
        <v>24</v>
      </c>
      <c r="L8">
        <v>33</v>
      </c>
      <c r="M8" t="str">
        <f t="shared" si="0"/>
        <v>Middle age</v>
      </c>
      <c r="N8" t="s">
        <v>15</v>
      </c>
    </row>
    <row r="9" spans="1:14" x14ac:dyDescent="0.35">
      <c r="A9">
        <v>19364</v>
      </c>
      <c r="B9" t="s">
        <v>36</v>
      </c>
      <c r="C9" t="s">
        <v>39</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1">
        <v>90000</v>
      </c>
      <c r="E13">
        <v>0</v>
      </c>
      <c r="F13" t="s">
        <v>13</v>
      </c>
      <c r="G13" t="s">
        <v>21</v>
      </c>
      <c r="H13" t="s">
        <v>18</v>
      </c>
      <c r="I13">
        <v>4</v>
      </c>
      <c r="J13" t="s">
        <v>45</v>
      </c>
      <c r="K13" t="s">
        <v>24</v>
      </c>
      <c r="L13">
        <v>36</v>
      </c>
      <c r="M13" t="str">
        <f t="shared" si="0"/>
        <v>Middle age</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1">
        <v>80000</v>
      </c>
      <c r="E23">
        <v>0</v>
      </c>
      <c r="F23" t="s">
        <v>13</v>
      </c>
      <c r="G23" t="s">
        <v>21</v>
      </c>
      <c r="H23" t="s">
        <v>15</v>
      </c>
      <c r="I23">
        <v>4</v>
      </c>
      <c r="J23" t="s">
        <v>45</v>
      </c>
      <c r="K23" t="s">
        <v>24</v>
      </c>
      <c r="L23">
        <v>35</v>
      </c>
      <c r="M23" t="str">
        <f t="shared" si="0"/>
        <v>Middle age</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Adolscent</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Adolscent</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Adolscent</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Adolscent</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Adolscent</v>
      </c>
      <c r="N52" t="s">
        <v>18</v>
      </c>
    </row>
    <row r="53" spans="1:14" x14ac:dyDescent="0.35">
      <c r="A53">
        <v>20619</v>
      </c>
      <c r="B53" t="s">
        <v>37</v>
      </c>
      <c r="C53" t="s">
        <v>39</v>
      </c>
      <c r="D53" s="1">
        <v>80000</v>
      </c>
      <c r="E53">
        <v>0</v>
      </c>
      <c r="F53" t="s">
        <v>13</v>
      </c>
      <c r="G53" t="s">
        <v>21</v>
      </c>
      <c r="H53" t="s">
        <v>18</v>
      </c>
      <c r="I53">
        <v>4</v>
      </c>
      <c r="J53" t="s">
        <v>45</v>
      </c>
      <c r="K53" t="s">
        <v>24</v>
      </c>
      <c r="L53">
        <v>35</v>
      </c>
      <c r="M53" t="str">
        <f t="shared" si="0"/>
        <v>Middle age</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1">
        <v>80000</v>
      </c>
      <c r="E57">
        <v>4</v>
      </c>
      <c r="F57" t="s">
        <v>27</v>
      </c>
      <c r="G57" t="s">
        <v>21</v>
      </c>
      <c r="H57" t="s">
        <v>15</v>
      </c>
      <c r="I57">
        <v>2</v>
      </c>
      <c r="J57" t="s">
        <v>45</v>
      </c>
      <c r="K57" t="s">
        <v>17</v>
      </c>
      <c r="L57">
        <v>54</v>
      </c>
      <c r="M57" t="str">
        <f t="shared" si="0"/>
        <v>Middle age</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1">
        <v>60000</v>
      </c>
      <c r="E65">
        <v>4</v>
      </c>
      <c r="F65" t="s">
        <v>13</v>
      </c>
      <c r="G65" t="s">
        <v>21</v>
      </c>
      <c r="H65" t="s">
        <v>15</v>
      </c>
      <c r="I65">
        <v>3</v>
      </c>
      <c r="J65" t="s">
        <v>45</v>
      </c>
      <c r="K65" t="s">
        <v>24</v>
      </c>
      <c r="L65">
        <v>41</v>
      </c>
      <c r="M65" t="str">
        <f t="shared" si="0"/>
        <v>Middle age</v>
      </c>
      <c r="N65" t="s">
        <v>18</v>
      </c>
    </row>
    <row r="66" spans="1:14" x14ac:dyDescent="0.35">
      <c r="A66">
        <v>14927</v>
      </c>
      <c r="B66" t="s">
        <v>36</v>
      </c>
      <c r="C66" t="s">
        <v>38</v>
      </c>
      <c r="D66" s="1">
        <v>30000</v>
      </c>
      <c r="E66">
        <v>1</v>
      </c>
      <c r="F66" t="s">
        <v>13</v>
      </c>
      <c r="G66" t="s">
        <v>20</v>
      </c>
      <c r="H66" t="s">
        <v>15</v>
      </c>
      <c r="I66">
        <v>0</v>
      </c>
      <c r="J66" t="s">
        <v>16</v>
      </c>
      <c r="K66" t="s">
        <v>17</v>
      </c>
      <c r="L66">
        <v>37</v>
      </c>
      <c r="M66" t="str">
        <f t="shared" ref="M66:M129" si="1">IF(L66&gt;54,"Old",IF(L66&gt;=31,"Middle age",IF(L66&lt;31,"Adolscent")))</f>
        <v>Middle age</v>
      </c>
      <c r="N66" t="s">
        <v>15</v>
      </c>
    </row>
    <row r="67" spans="1:14" x14ac:dyDescent="0.35">
      <c r="A67">
        <v>29337</v>
      </c>
      <c r="B67" t="s">
        <v>37</v>
      </c>
      <c r="C67" t="s">
        <v>39</v>
      </c>
      <c r="D67" s="1">
        <v>30000</v>
      </c>
      <c r="E67">
        <v>2</v>
      </c>
      <c r="F67" t="s">
        <v>19</v>
      </c>
      <c r="G67" t="s">
        <v>20</v>
      </c>
      <c r="H67" t="s">
        <v>15</v>
      </c>
      <c r="I67">
        <v>2</v>
      </c>
      <c r="J67" t="s">
        <v>23</v>
      </c>
      <c r="K67" t="s">
        <v>24</v>
      </c>
      <c r="L67">
        <v>68</v>
      </c>
      <c r="M67" t="str">
        <f t="shared" si="1"/>
        <v>Old</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Adolscent</v>
      </c>
      <c r="N71" t="s">
        <v>18</v>
      </c>
    </row>
    <row r="72" spans="1:14" x14ac:dyDescent="0.35">
      <c r="A72">
        <v>14238</v>
      </c>
      <c r="B72" t="s">
        <v>36</v>
      </c>
      <c r="C72" t="s">
        <v>39</v>
      </c>
      <c r="D72" s="1">
        <v>120000</v>
      </c>
      <c r="E72">
        <v>0</v>
      </c>
      <c r="F72" t="s">
        <v>29</v>
      </c>
      <c r="G72" t="s">
        <v>21</v>
      </c>
      <c r="H72" t="s">
        <v>15</v>
      </c>
      <c r="I72">
        <v>4</v>
      </c>
      <c r="J72" t="s">
        <v>45</v>
      </c>
      <c r="K72" t="s">
        <v>24</v>
      </c>
      <c r="L72">
        <v>36</v>
      </c>
      <c r="M72" t="str">
        <f t="shared" si="1"/>
        <v>Middle age</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Adolscent</v>
      </c>
      <c r="N78" t="s">
        <v>18</v>
      </c>
    </row>
    <row r="79" spans="1:14" x14ac:dyDescent="0.35">
      <c r="A79">
        <v>27969</v>
      </c>
      <c r="B79" t="s">
        <v>36</v>
      </c>
      <c r="C79" t="s">
        <v>39</v>
      </c>
      <c r="D79" s="1">
        <v>80000</v>
      </c>
      <c r="E79">
        <v>0</v>
      </c>
      <c r="F79" t="s">
        <v>13</v>
      </c>
      <c r="G79" t="s">
        <v>21</v>
      </c>
      <c r="H79" t="s">
        <v>15</v>
      </c>
      <c r="I79">
        <v>2</v>
      </c>
      <c r="J79" t="s">
        <v>45</v>
      </c>
      <c r="K79" t="s">
        <v>24</v>
      </c>
      <c r="L79">
        <v>29</v>
      </c>
      <c r="M79" t="str">
        <f t="shared" si="1"/>
        <v>Adolscent</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Adolscent</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Adolscent</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Adolscent</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Adolscent</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Adolscent</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1">
        <v>90000</v>
      </c>
      <c r="E97">
        <v>5</v>
      </c>
      <c r="F97" t="s">
        <v>19</v>
      </c>
      <c r="G97" t="s">
        <v>21</v>
      </c>
      <c r="H97" t="s">
        <v>15</v>
      </c>
      <c r="I97">
        <v>2</v>
      </c>
      <c r="J97" t="s">
        <v>45</v>
      </c>
      <c r="K97" t="s">
        <v>17</v>
      </c>
      <c r="L97">
        <v>62</v>
      </c>
      <c r="M97" t="str">
        <f t="shared" si="1"/>
        <v>Old</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Adolscent</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Adolscent</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Adolscent</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Adolscent</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Adolscent</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1">
        <v>80000</v>
      </c>
      <c r="E124">
        <v>0</v>
      </c>
      <c r="F124" t="s">
        <v>13</v>
      </c>
      <c r="G124" t="s">
        <v>21</v>
      </c>
      <c r="H124" t="s">
        <v>18</v>
      </c>
      <c r="I124">
        <v>3</v>
      </c>
      <c r="J124" t="s">
        <v>45</v>
      </c>
      <c r="K124" t="s">
        <v>24</v>
      </c>
      <c r="L124">
        <v>31</v>
      </c>
      <c r="M124" t="str">
        <f t="shared" si="1"/>
        <v>Middle age</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ref="M130:M193" si="2">IF(L130&gt;54,"Old",IF(L130&gt;=31,"Middle age",IF(L130&lt;31,"Adolscent")))</f>
        <v>Middle age</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si="2"/>
        <v>Middle age</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Adolscent</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1">
        <v>80000</v>
      </c>
      <c r="E145">
        <v>0</v>
      </c>
      <c r="F145" t="s">
        <v>13</v>
      </c>
      <c r="G145" t="s">
        <v>21</v>
      </c>
      <c r="H145" t="s">
        <v>15</v>
      </c>
      <c r="I145">
        <v>3</v>
      </c>
      <c r="J145" t="s">
        <v>45</v>
      </c>
      <c r="K145" t="s">
        <v>24</v>
      </c>
      <c r="L145">
        <v>32</v>
      </c>
      <c r="M145" t="str">
        <f t="shared" si="2"/>
        <v>Middle age</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Adolscent</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Adolscent</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Adolscent</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1">
        <v>100000</v>
      </c>
      <c r="E169">
        <v>0</v>
      </c>
      <c r="F169" t="s">
        <v>27</v>
      </c>
      <c r="G169" t="s">
        <v>28</v>
      </c>
      <c r="H169" t="s">
        <v>15</v>
      </c>
      <c r="I169">
        <v>3</v>
      </c>
      <c r="J169" t="s">
        <v>45</v>
      </c>
      <c r="K169" t="s">
        <v>24</v>
      </c>
      <c r="L169">
        <v>35</v>
      </c>
      <c r="M169" t="str">
        <f t="shared" si="2"/>
        <v>Middle age</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Adolscent</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Adolscent</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1">
        <v>160000</v>
      </c>
      <c r="E180">
        <v>4</v>
      </c>
      <c r="F180" t="s">
        <v>19</v>
      </c>
      <c r="G180" t="s">
        <v>21</v>
      </c>
      <c r="H180" t="s">
        <v>18</v>
      </c>
      <c r="I180">
        <v>2</v>
      </c>
      <c r="J180" t="s">
        <v>45</v>
      </c>
      <c r="K180" t="s">
        <v>17</v>
      </c>
      <c r="L180">
        <v>55</v>
      </c>
      <c r="M180" t="str">
        <f t="shared" si="2"/>
        <v>Old</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1">
        <v>130000</v>
      </c>
      <c r="E186">
        <v>4</v>
      </c>
      <c r="F186" t="s">
        <v>27</v>
      </c>
      <c r="G186" t="s">
        <v>28</v>
      </c>
      <c r="H186" t="s">
        <v>18</v>
      </c>
      <c r="I186">
        <v>4</v>
      </c>
      <c r="J186" t="s">
        <v>45</v>
      </c>
      <c r="K186" t="s">
        <v>17</v>
      </c>
      <c r="L186">
        <v>58</v>
      </c>
      <c r="M186" t="str">
        <f t="shared" si="2"/>
        <v>Old</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1">
        <v>80000</v>
      </c>
      <c r="E189">
        <v>5</v>
      </c>
      <c r="F189" t="s">
        <v>19</v>
      </c>
      <c r="G189" t="s">
        <v>21</v>
      </c>
      <c r="H189" t="s">
        <v>18</v>
      </c>
      <c r="I189">
        <v>2</v>
      </c>
      <c r="J189" t="s">
        <v>45</v>
      </c>
      <c r="K189" t="s">
        <v>17</v>
      </c>
      <c r="L189">
        <v>59</v>
      </c>
      <c r="M189" t="str">
        <f t="shared" si="2"/>
        <v>Old</v>
      </c>
      <c r="N189" t="s">
        <v>18</v>
      </c>
    </row>
    <row r="190" spans="1:14" x14ac:dyDescent="0.35">
      <c r="A190">
        <v>20606</v>
      </c>
      <c r="B190" t="s">
        <v>36</v>
      </c>
      <c r="C190" t="s">
        <v>38</v>
      </c>
      <c r="D190" s="1">
        <v>70000</v>
      </c>
      <c r="E190">
        <v>0</v>
      </c>
      <c r="F190" t="s">
        <v>13</v>
      </c>
      <c r="G190" t="s">
        <v>21</v>
      </c>
      <c r="H190" t="s">
        <v>15</v>
      </c>
      <c r="I190">
        <v>4</v>
      </c>
      <c r="J190" t="s">
        <v>45</v>
      </c>
      <c r="K190" t="s">
        <v>24</v>
      </c>
      <c r="L190">
        <v>32</v>
      </c>
      <c r="M190" t="str">
        <f t="shared" si="2"/>
        <v>Middle age</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1">
        <v>80000</v>
      </c>
      <c r="E194">
        <v>5</v>
      </c>
      <c r="F194" t="s">
        <v>13</v>
      </c>
      <c r="G194" t="s">
        <v>28</v>
      </c>
      <c r="H194" t="s">
        <v>15</v>
      </c>
      <c r="I194">
        <v>2</v>
      </c>
      <c r="J194" t="s">
        <v>45</v>
      </c>
      <c r="K194" t="s">
        <v>17</v>
      </c>
      <c r="L194">
        <v>62</v>
      </c>
      <c r="M194" t="str">
        <f t="shared" ref="M194:M257" si="3">IF(L194&gt;54,"Old",IF(L194&gt;=31,"Middle age",IF(L194&lt;31,"Adolscent")))</f>
        <v>Old</v>
      </c>
      <c r="N194" t="s">
        <v>18</v>
      </c>
    </row>
    <row r="195" spans="1:14" x14ac:dyDescent="0.35">
      <c r="A195">
        <v>26032</v>
      </c>
      <c r="B195" t="s">
        <v>36</v>
      </c>
      <c r="C195" t="s">
        <v>38</v>
      </c>
      <c r="D195" s="1">
        <v>70000</v>
      </c>
      <c r="E195">
        <v>5</v>
      </c>
      <c r="F195" t="s">
        <v>13</v>
      </c>
      <c r="G195" t="s">
        <v>21</v>
      </c>
      <c r="H195" t="s">
        <v>15</v>
      </c>
      <c r="I195">
        <v>4</v>
      </c>
      <c r="J195" t="s">
        <v>45</v>
      </c>
      <c r="K195" t="s">
        <v>24</v>
      </c>
      <c r="L195">
        <v>41</v>
      </c>
      <c r="M195" t="str">
        <f t="shared" si="3"/>
        <v>Middle age</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Adolscent</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1">
        <v>80000</v>
      </c>
      <c r="E201">
        <v>0</v>
      </c>
      <c r="F201" t="s">
        <v>13</v>
      </c>
      <c r="G201" t="s">
        <v>21</v>
      </c>
      <c r="H201" t="s">
        <v>18</v>
      </c>
      <c r="I201">
        <v>3</v>
      </c>
      <c r="J201" t="s">
        <v>45</v>
      </c>
      <c r="K201" t="s">
        <v>24</v>
      </c>
      <c r="L201">
        <v>33</v>
      </c>
      <c r="M201" t="str">
        <f t="shared" si="3"/>
        <v>Middle age</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Adolscent</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1">
        <v>90000</v>
      </c>
      <c r="E208">
        <v>5</v>
      </c>
      <c r="F208" t="s">
        <v>19</v>
      </c>
      <c r="G208" t="s">
        <v>21</v>
      </c>
      <c r="H208" t="s">
        <v>18</v>
      </c>
      <c r="I208">
        <v>2</v>
      </c>
      <c r="J208" t="s">
        <v>45</v>
      </c>
      <c r="K208" t="s">
        <v>17</v>
      </c>
      <c r="L208">
        <v>62</v>
      </c>
      <c r="M208" t="str">
        <f t="shared" si="3"/>
        <v>Old</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Adolscent</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Adolscent</v>
      </c>
      <c r="N214" t="s">
        <v>18</v>
      </c>
    </row>
    <row r="215" spans="1:14" x14ac:dyDescent="0.35">
      <c r="A215">
        <v>11451</v>
      </c>
      <c r="B215" t="s">
        <v>37</v>
      </c>
      <c r="C215" t="s">
        <v>39</v>
      </c>
      <c r="D215" s="1">
        <v>70000</v>
      </c>
      <c r="E215">
        <v>0</v>
      </c>
      <c r="F215" t="s">
        <v>13</v>
      </c>
      <c r="G215" t="s">
        <v>21</v>
      </c>
      <c r="H215" t="s">
        <v>18</v>
      </c>
      <c r="I215">
        <v>4</v>
      </c>
      <c r="J215" t="s">
        <v>45</v>
      </c>
      <c r="K215" t="s">
        <v>24</v>
      </c>
      <c r="L215">
        <v>31</v>
      </c>
      <c r="M215" t="str">
        <f t="shared" si="3"/>
        <v>Middle age</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Adolscent</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Adolscent</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1">
        <v>70000</v>
      </c>
      <c r="E225">
        <v>5</v>
      </c>
      <c r="F225" t="s">
        <v>13</v>
      </c>
      <c r="G225" t="s">
        <v>21</v>
      </c>
      <c r="H225" t="s">
        <v>15</v>
      </c>
      <c r="I225">
        <v>4</v>
      </c>
      <c r="J225" t="s">
        <v>45</v>
      </c>
      <c r="K225" t="s">
        <v>24</v>
      </c>
      <c r="L225">
        <v>39</v>
      </c>
      <c r="M225" t="str">
        <f t="shared" si="3"/>
        <v>Middle age</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1">
        <v>80000</v>
      </c>
      <c r="E231">
        <v>5</v>
      </c>
      <c r="F231" t="s">
        <v>27</v>
      </c>
      <c r="G231" t="s">
        <v>28</v>
      </c>
      <c r="H231" t="s">
        <v>15</v>
      </c>
      <c r="I231">
        <v>3</v>
      </c>
      <c r="J231" t="s">
        <v>45</v>
      </c>
      <c r="K231" t="s">
        <v>17</v>
      </c>
      <c r="L231">
        <v>57</v>
      </c>
      <c r="M231" t="str">
        <f t="shared" si="3"/>
        <v>Old</v>
      </c>
      <c r="N231" t="s">
        <v>18</v>
      </c>
    </row>
    <row r="232" spans="1:14" x14ac:dyDescent="0.35">
      <c r="A232">
        <v>22830</v>
      </c>
      <c r="B232" t="s">
        <v>36</v>
      </c>
      <c r="C232" t="s">
        <v>39</v>
      </c>
      <c r="D232" s="1">
        <v>120000</v>
      </c>
      <c r="E232">
        <v>4</v>
      </c>
      <c r="F232" t="s">
        <v>19</v>
      </c>
      <c r="G232" t="s">
        <v>28</v>
      </c>
      <c r="H232" t="s">
        <v>15</v>
      </c>
      <c r="I232">
        <v>3</v>
      </c>
      <c r="J232" t="s">
        <v>45</v>
      </c>
      <c r="K232" t="s">
        <v>17</v>
      </c>
      <c r="L232">
        <v>56</v>
      </c>
      <c r="M232" t="str">
        <f t="shared" si="3"/>
        <v>Old</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Adolscent</v>
      </c>
      <c r="N235" t="s">
        <v>15</v>
      </c>
    </row>
    <row r="236" spans="1:14" x14ac:dyDescent="0.35">
      <c r="A236">
        <v>24611</v>
      </c>
      <c r="B236" t="s">
        <v>37</v>
      </c>
      <c r="C236" t="s">
        <v>39</v>
      </c>
      <c r="D236" s="1">
        <v>90000</v>
      </c>
      <c r="E236">
        <v>0</v>
      </c>
      <c r="F236" t="s">
        <v>13</v>
      </c>
      <c r="G236" t="s">
        <v>21</v>
      </c>
      <c r="H236" t="s">
        <v>18</v>
      </c>
      <c r="I236">
        <v>4</v>
      </c>
      <c r="J236" t="s">
        <v>45</v>
      </c>
      <c r="K236" t="s">
        <v>24</v>
      </c>
      <c r="L236">
        <v>35</v>
      </c>
      <c r="M236" t="str">
        <f t="shared" si="3"/>
        <v>Middle age</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Adolscent</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Adolscent</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Adolscent</v>
      </c>
      <c r="N245" t="s">
        <v>18</v>
      </c>
    </row>
    <row r="246" spans="1:14" x14ac:dyDescent="0.35">
      <c r="A246">
        <v>19057</v>
      </c>
      <c r="B246" t="s">
        <v>36</v>
      </c>
      <c r="C246" t="s">
        <v>38</v>
      </c>
      <c r="D246" s="1">
        <v>120000</v>
      </c>
      <c r="E246">
        <v>3</v>
      </c>
      <c r="F246" t="s">
        <v>13</v>
      </c>
      <c r="G246" t="s">
        <v>28</v>
      </c>
      <c r="H246" t="s">
        <v>18</v>
      </c>
      <c r="I246">
        <v>2</v>
      </c>
      <c r="J246" t="s">
        <v>45</v>
      </c>
      <c r="K246" t="s">
        <v>17</v>
      </c>
      <c r="L246">
        <v>52</v>
      </c>
      <c r="M246" t="str">
        <f t="shared" si="3"/>
        <v>Middle age</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1">
        <v>100000</v>
      </c>
      <c r="E249">
        <v>0</v>
      </c>
      <c r="F249" t="s">
        <v>27</v>
      </c>
      <c r="G249" t="s">
        <v>28</v>
      </c>
      <c r="H249" t="s">
        <v>15</v>
      </c>
      <c r="I249">
        <v>4</v>
      </c>
      <c r="J249" t="s">
        <v>45</v>
      </c>
      <c r="K249" t="s">
        <v>24</v>
      </c>
      <c r="L249">
        <v>34</v>
      </c>
      <c r="M249" t="str">
        <f t="shared" si="3"/>
        <v>Middle age</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1">
        <v>100000</v>
      </c>
      <c r="E255">
        <v>3</v>
      </c>
      <c r="F255" t="s">
        <v>29</v>
      </c>
      <c r="G255" t="s">
        <v>21</v>
      </c>
      <c r="H255" t="s">
        <v>15</v>
      </c>
      <c r="I255">
        <v>0</v>
      </c>
      <c r="J255" t="s">
        <v>45</v>
      </c>
      <c r="K255" t="s">
        <v>17</v>
      </c>
      <c r="L255">
        <v>59</v>
      </c>
      <c r="M255" t="str">
        <f t="shared" si="3"/>
        <v>Old</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ref="M258:M321" si="4">IF(L258&gt;54,"Old",IF(L258&gt;=31,"Middle age",IF(L258&lt;31,"Adolscent")))</f>
        <v>Middle age</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si="4"/>
        <v>Middle age</v>
      </c>
      <c r="N259" t="s">
        <v>15</v>
      </c>
    </row>
    <row r="260" spans="1:14" x14ac:dyDescent="0.35">
      <c r="A260">
        <v>14193</v>
      </c>
      <c r="B260" t="s">
        <v>37</v>
      </c>
      <c r="C260" t="s">
        <v>38</v>
      </c>
      <c r="D260" s="1">
        <v>100000</v>
      </c>
      <c r="E260">
        <v>3</v>
      </c>
      <c r="F260" t="s">
        <v>19</v>
      </c>
      <c r="G260" t="s">
        <v>28</v>
      </c>
      <c r="H260" t="s">
        <v>15</v>
      </c>
      <c r="I260">
        <v>4</v>
      </c>
      <c r="J260" t="s">
        <v>45</v>
      </c>
      <c r="K260" t="s">
        <v>17</v>
      </c>
      <c r="L260">
        <v>56</v>
      </c>
      <c r="M260" t="str">
        <f t="shared" si="4"/>
        <v>Old</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1">
        <v>70000</v>
      </c>
      <c r="E265">
        <v>5</v>
      </c>
      <c r="F265" t="s">
        <v>13</v>
      </c>
      <c r="G265" t="s">
        <v>21</v>
      </c>
      <c r="H265" t="s">
        <v>15</v>
      </c>
      <c r="I265">
        <v>3</v>
      </c>
      <c r="J265" t="s">
        <v>45</v>
      </c>
      <c r="K265" t="s">
        <v>24</v>
      </c>
      <c r="L265">
        <v>39</v>
      </c>
      <c r="M265" t="str">
        <f t="shared" si="4"/>
        <v>Middle age</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Adolscent</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Adolscent</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Adolscent</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1">
        <v>100000</v>
      </c>
      <c r="E280">
        <v>0</v>
      </c>
      <c r="F280" t="s">
        <v>27</v>
      </c>
      <c r="G280" t="s">
        <v>28</v>
      </c>
      <c r="H280" t="s">
        <v>15</v>
      </c>
      <c r="I280">
        <v>3</v>
      </c>
      <c r="J280" t="s">
        <v>45</v>
      </c>
      <c r="K280" t="s">
        <v>24</v>
      </c>
      <c r="L280">
        <v>35</v>
      </c>
      <c r="M280" t="str">
        <f t="shared" si="4"/>
        <v>Middle age</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1">
        <v>110000</v>
      </c>
      <c r="E297">
        <v>0</v>
      </c>
      <c r="F297" t="s">
        <v>19</v>
      </c>
      <c r="G297" t="s">
        <v>28</v>
      </c>
      <c r="H297" t="s">
        <v>15</v>
      </c>
      <c r="I297">
        <v>3</v>
      </c>
      <c r="J297" t="s">
        <v>45</v>
      </c>
      <c r="K297" t="s">
        <v>24</v>
      </c>
      <c r="L297">
        <v>32</v>
      </c>
      <c r="M297" t="str">
        <f t="shared" si="4"/>
        <v>Middle age</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Adolscent</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1">
        <v>130000</v>
      </c>
      <c r="E320">
        <v>4</v>
      </c>
      <c r="F320" t="s">
        <v>19</v>
      </c>
      <c r="G320" t="s">
        <v>21</v>
      </c>
      <c r="H320" t="s">
        <v>18</v>
      </c>
      <c r="I320">
        <v>3</v>
      </c>
      <c r="J320" t="s">
        <v>45</v>
      </c>
      <c r="K320" t="s">
        <v>17</v>
      </c>
      <c r="L320">
        <v>54</v>
      </c>
      <c r="M320" t="str">
        <f t="shared" si="4"/>
        <v>Middle age</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ref="M322:M385" si="5">IF(L322&gt;54,"Old",IF(L322&gt;=31,"Middle age",IF(L322&lt;31,"Adolscent")))</f>
        <v>Middle age</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si="5"/>
        <v>Middle age</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Adolscent</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1">
        <v>90000</v>
      </c>
      <c r="E331">
        <v>5</v>
      </c>
      <c r="F331" t="s">
        <v>29</v>
      </c>
      <c r="G331" t="s">
        <v>14</v>
      </c>
      <c r="H331" t="s">
        <v>15</v>
      </c>
      <c r="I331">
        <v>2</v>
      </c>
      <c r="J331" t="s">
        <v>45</v>
      </c>
      <c r="K331" t="s">
        <v>17</v>
      </c>
      <c r="L331">
        <v>59</v>
      </c>
      <c r="M331" t="str">
        <f t="shared" si="5"/>
        <v>Old</v>
      </c>
      <c r="N331" t="s">
        <v>18</v>
      </c>
    </row>
    <row r="332" spans="1:14" x14ac:dyDescent="0.35">
      <c r="A332">
        <v>24898</v>
      </c>
      <c r="B332" t="s">
        <v>37</v>
      </c>
      <c r="C332" t="s">
        <v>38</v>
      </c>
      <c r="D332" s="1">
        <v>80000</v>
      </c>
      <c r="E332">
        <v>0</v>
      </c>
      <c r="F332" t="s">
        <v>13</v>
      </c>
      <c r="G332" t="s">
        <v>21</v>
      </c>
      <c r="H332" t="s">
        <v>15</v>
      </c>
      <c r="I332">
        <v>3</v>
      </c>
      <c r="J332" t="s">
        <v>45</v>
      </c>
      <c r="K332" t="s">
        <v>24</v>
      </c>
      <c r="L332">
        <v>32</v>
      </c>
      <c r="M332" t="str">
        <f t="shared" si="5"/>
        <v>Middle age</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Adolscent</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Adolscent</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Adolscent</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Adolscent</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1">
        <v>80000</v>
      </c>
      <c r="E357">
        <v>0</v>
      </c>
      <c r="F357" t="s">
        <v>13</v>
      </c>
      <c r="G357" t="s">
        <v>21</v>
      </c>
      <c r="H357" t="s">
        <v>15</v>
      </c>
      <c r="I357">
        <v>3</v>
      </c>
      <c r="J357" t="s">
        <v>45</v>
      </c>
      <c r="K357" t="s">
        <v>24</v>
      </c>
      <c r="L357">
        <v>32</v>
      </c>
      <c r="M357" t="str">
        <f t="shared" si="5"/>
        <v>Middle age</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1">
        <v>80000</v>
      </c>
      <c r="E361">
        <v>0</v>
      </c>
      <c r="F361" t="s">
        <v>13</v>
      </c>
      <c r="G361" t="s">
        <v>21</v>
      </c>
      <c r="H361" t="s">
        <v>15</v>
      </c>
      <c r="I361">
        <v>3</v>
      </c>
      <c r="J361" t="s">
        <v>45</v>
      </c>
      <c r="K361" t="s">
        <v>24</v>
      </c>
      <c r="L361">
        <v>30</v>
      </c>
      <c r="M361" t="str">
        <f t="shared" si="5"/>
        <v>Adolscent</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Adolscent</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1">
        <v>100000</v>
      </c>
      <c r="E372">
        <v>4</v>
      </c>
      <c r="F372" t="s">
        <v>13</v>
      </c>
      <c r="G372" t="s">
        <v>21</v>
      </c>
      <c r="H372" t="s">
        <v>15</v>
      </c>
      <c r="I372">
        <v>1</v>
      </c>
      <c r="J372" t="s">
        <v>45</v>
      </c>
      <c r="K372" t="s">
        <v>24</v>
      </c>
      <c r="L372">
        <v>46</v>
      </c>
      <c r="M372" t="str">
        <f t="shared" si="5"/>
        <v>Middle age</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Adolscent</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1">
        <v>70000</v>
      </c>
      <c r="E382">
        <v>0</v>
      </c>
      <c r="F382" t="s">
        <v>13</v>
      </c>
      <c r="G382" t="s">
        <v>21</v>
      </c>
      <c r="H382" t="s">
        <v>18</v>
      </c>
      <c r="I382">
        <v>3</v>
      </c>
      <c r="J382" t="s">
        <v>45</v>
      </c>
      <c r="K382" t="s">
        <v>24</v>
      </c>
      <c r="L382">
        <v>30</v>
      </c>
      <c r="M382" t="str">
        <f t="shared" si="5"/>
        <v>Adolscent</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1">
        <v>80000</v>
      </c>
      <c r="E384">
        <v>4</v>
      </c>
      <c r="F384" t="s">
        <v>19</v>
      </c>
      <c r="G384" t="s">
        <v>21</v>
      </c>
      <c r="H384" t="s">
        <v>15</v>
      </c>
      <c r="I384">
        <v>2</v>
      </c>
      <c r="J384" t="s">
        <v>45</v>
      </c>
      <c r="K384" t="s">
        <v>17</v>
      </c>
      <c r="L384">
        <v>53</v>
      </c>
      <c r="M384" t="str">
        <f t="shared" si="5"/>
        <v>Middle age</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ref="M386:M449" si="6">IF(L386&gt;54,"Old",IF(L386&gt;=31,"Middle age",IF(L386&lt;31,"Adolscent")))</f>
        <v>Adolscent</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si="6"/>
        <v>Middle age</v>
      </c>
      <c r="N387" t="s">
        <v>18</v>
      </c>
    </row>
    <row r="388" spans="1:14" x14ac:dyDescent="0.35">
      <c r="A388">
        <v>28957</v>
      </c>
      <c r="B388" t="s">
        <v>37</v>
      </c>
      <c r="C388" t="s">
        <v>38</v>
      </c>
      <c r="D388" s="1">
        <v>120000</v>
      </c>
      <c r="E388">
        <v>0</v>
      </c>
      <c r="F388" t="s">
        <v>29</v>
      </c>
      <c r="G388" t="s">
        <v>21</v>
      </c>
      <c r="H388" t="s">
        <v>15</v>
      </c>
      <c r="I388">
        <v>4</v>
      </c>
      <c r="J388" t="s">
        <v>45</v>
      </c>
      <c r="K388" t="s">
        <v>24</v>
      </c>
      <c r="L388">
        <v>34</v>
      </c>
      <c r="M388" t="str">
        <f t="shared" si="6"/>
        <v>Middle age</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1">
        <v>110000</v>
      </c>
      <c r="E402">
        <v>3</v>
      </c>
      <c r="F402" t="s">
        <v>13</v>
      </c>
      <c r="G402" t="s">
        <v>28</v>
      </c>
      <c r="H402" t="s">
        <v>15</v>
      </c>
      <c r="I402">
        <v>4</v>
      </c>
      <c r="J402" t="s">
        <v>45</v>
      </c>
      <c r="K402" t="s">
        <v>17</v>
      </c>
      <c r="L402">
        <v>53</v>
      </c>
      <c r="M402" t="str">
        <f t="shared" si="6"/>
        <v>Middle age</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1">
        <v>100000</v>
      </c>
      <c r="E422">
        <v>2</v>
      </c>
      <c r="F422" t="s">
        <v>13</v>
      </c>
      <c r="G422" t="s">
        <v>28</v>
      </c>
      <c r="H422" t="s">
        <v>15</v>
      </c>
      <c r="I422">
        <v>4</v>
      </c>
      <c r="J422" t="s">
        <v>45</v>
      </c>
      <c r="K422" t="s">
        <v>17</v>
      </c>
      <c r="L422">
        <v>59</v>
      </c>
      <c r="M422" t="str">
        <f t="shared" si="6"/>
        <v>Old</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1">
        <v>110000</v>
      </c>
      <c r="E424">
        <v>0</v>
      </c>
      <c r="F424" t="s">
        <v>19</v>
      </c>
      <c r="G424" t="s">
        <v>28</v>
      </c>
      <c r="H424" t="s">
        <v>18</v>
      </c>
      <c r="I424">
        <v>3</v>
      </c>
      <c r="J424" t="s">
        <v>45</v>
      </c>
      <c r="K424" t="s">
        <v>24</v>
      </c>
      <c r="L424">
        <v>32</v>
      </c>
      <c r="M424" t="str">
        <f t="shared" si="6"/>
        <v>Middle age</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Adolscent</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Adolscent</v>
      </c>
      <c r="N433" t="s">
        <v>15</v>
      </c>
    </row>
    <row r="434" spans="1:14" x14ac:dyDescent="0.35">
      <c r="A434">
        <v>21891</v>
      </c>
      <c r="B434" t="s">
        <v>36</v>
      </c>
      <c r="C434" t="s">
        <v>38</v>
      </c>
      <c r="D434" s="1">
        <v>110000</v>
      </c>
      <c r="E434">
        <v>0</v>
      </c>
      <c r="F434" t="s">
        <v>27</v>
      </c>
      <c r="G434" t="s">
        <v>28</v>
      </c>
      <c r="H434" t="s">
        <v>15</v>
      </c>
      <c r="I434">
        <v>3</v>
      </c>
      <c r="J434" t="s">
        <v>45</v>
      </c>
      <c r="K434" t="s">
        <v>24</v>
      </c>
      <c r="L434">
        <v>34</v>
      </c>
      <c r="M434" t="str">
        <f t="shared" si="6"/>
        <v>Middle age</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Adolscent</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Adolscent</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1">
        <v>90000</v>
      </c>
      <c r="E442">
        <v>0</v>
      </c>
      <c r="F442" t="s">
        <v>13</v>
      </c>
      <c r="G442" t="s">
        <v>21</v>
      </c>
      <c r="H442" t="s">
        <v>18</v>
      </c>
      <c r="I442">
        <v>3</v>
      </c>
      <c r="J442" t="s">
        <v>45</v>
      </c>
      <c r="K442" t="s">
        <v>24</v>
      </c>
      <c r="L442">
        <v>34</v>
      </c>
      <c r="M442" t="str">
        <f t="shared" si="6"/>
        <v>Middle age</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1">
        <v>130000</v>
      </c>
      <c r="E448">
        <v>0</v>
      </c>
      <c r="F448" t="s">
        <v>31</v>
      </c>
      <c r="G448" t="s">
        <v>28</v>
      </c>
      <c r="H448" t="s">
        <v>15</v>
      </c>
      <c r="I448">
        <v>1</v>
      </c>
      <c r="J448" t="s">
        <v>45</v>
      </c>
      <c r="K448" t="s">
        <v>24</v>
      </c>
      <c r="L448">
        <v>48</v>
      </c>
      <c r="M448" t="str">
        <f t="shared" si="6"/>
        <v>Middle age</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ref="M450:M513" si="7">IF(L450&gt;54,"Old",IF(L450&gt;=31,"Middle age",IF(L450&lt;31,"Adolscent")))</f>
        <v>Middle age</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si="7"/>
        <v>Middle age</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1">
        <v>120000</v>
      </c>
      <c r="E460">
        <v>0</v>
      </c>
      <c r="F460" t="s">
        <v>29</v>
      </c>
      <c r="G460" t="s">
        <v>21</v>
      </c>
      <c r="H460" t="s">
        <v>15</v>
      </c>
      <c r="I460">
        <v>4</v>
      </c>
      <c r="J460" t="s">
        <v>45</v>
      </c>
      <c r="K460" t="s">
        <v>24</v>
      </c>
      <c r="L460">
        <v>32</v>
      </c>
      <c r="M460" t="str">
        <f t="shared" si="7"/>
        <v>Middle age</v>
      </c>
      <c r="N460" t="s">
        <v>15</v>
      </c>
    </row>
    <row r="461" spans="1:14" x14ac:dyDescent="0.35">
      <c r="A461">
        <v>21554</v>
      </c>
      <c r="B461" t="s">
        <v>37</v>
      </c>
      <c r="C461" t="s">
        <v>38</v>
      </c>
      <c r="D461" s="1">
        <v>80000</v>
      </c>
      <c r="E461">
        <v>0</v>
      </c>
      <c r="F461" t="s">
        <v>13</v>
      </c>
      <c r="G461" t="s">
        <v>21</v>
      </c>
      <c r="H461" t="s">
        <v>18</v>
      </c>
      <c r="I461">
        <v>3</v>
      </c>
      <c r="J461" t="s">
        <v>45</v>
      </c>
      <c r="K461" t="s">
        <v>24</v>
      </c>
      <c r="L461">
        <v>33</v>
      </c>
      <c r="M461" t="str">
        <f t="shared" si="7"/>
        <v>Middle age</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Adolscent</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1">
        <v>90000</v>
      </c>
      <c r="E488">
        <v>4</v>
      </c>
      <c r="F488" t="s">
        <v>29</v>
      </c>
      <c r="G488" t="s">
        <v>14</v>
      </c>
      <c r="H488" t="s">
        <v>15</v>
      </c>
      <c r="I488">
        <v>4</v>
      </c>
      <c r="J488" t="s">
        <v>45</v>
      </c>
      <c r="K488" t="s">
        <v>17</v>
      </c>
      <c r="L488">
        <v>58</v>
      </c>
      <c r="M488" t="str">
        <f t="shared" si="7"/>
        <v>Old</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1">
        <v>70000</v>
      </c>
      <c r="E495">
        <v>5</v>
      </c>
      <c r="F495" t="s">
        <v>13</v>
      </c>
      <c r="G495" t="s">
        <v>28</v>
      </c>
      <c r="H495" t="s">
        <v>15</v>
      </c>
      <c r="I495">
        <v>3</v>
      </c>
      <c r="J495" t="s">
        <v>45</v>
      </c>
      <c r="K495" t="s">
        <v>32</v>
      </c>
      <c r="L495">
        <v>60</v>
      </c>
      <c r="M495" t="str">
        <f t="shared" si="7"/>
        <v>Old</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1">
        <v>60000</v>
      </c>
      <c r="E497">
        <v>2</v>
      </c>
      <c r="F497" t="s">
        <v>19</v>
      </c>
      <c r="G497" t="s">
        <v>21</v>
      </c>
      <c r="H497" t="s">
        <v>15</v>
      </c>
      <c r="I497">
        <v>2</v>
      </c>
      <c r="J497" t="s">
        <v>45</v>
      </c>
      <c r="K497" t="s">
        <v>32</v>
      </c>
      <c r="L497">
        <v>56</v>
      </c>
      <c r="M497" t="str">
        <f t="shared" si="7"/>
        <v>Old</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Adolscent</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Adolscent</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ref="M514:M577" si="8">IF(L514&gt;54,"Old",IF(L514&gt;=31,"Middle age",IF(L514&lt;31,"Adolscent")))</f>
        <v>Middle age</v>
      </c>
      <c r="N514" t="s">
        <v>15</v>
      </c>
    </row>
    <row r="515" spans="1:14" x14ac:dyDescent="0.35">
      <c r="A515">
        <v>13353</v>
      </c>
      <c r="B515" t="s">
        <v>37</v>
      </c>
      <c r="C515" t="s">
        <v>38</v>
      </c>
      <c r="D515" s="1">
        <v>60000</v>
      </c>
      <c r="E515">
        <v>4</v>
      </c>
      <c r="F515" t="s">
        <v>31</v>
      </c>
      <c r="G515" t="s">
        <v>28</v>
      </c>
      <c r="H515" t="s">
        <v>15</v>
      </c>
      <c r="I515">
        <v>2</v>
      </c>
      <c r="J515" t="s">
        <v>45</v>
      </c>
      <c r="K515" t="s">
        <v>32</v>
      </c>
      <c r="L515">
        <v>61</v>
      </c>
      <c r="M515" t="str">
        <f t="shared" si="8"/>
        <v>Old</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1">
        <v>40000</v>
      </c>
      <c r="E523">
        <v>4</v>
      </c>
      <c r="F523" t="s">
        <v>27</v>
      </c>
      <c r="G523" t="s">
        <v>21</v>
      </c>
      <c r="H523" t="s">
        <v>15</v>
      </c>
      <c r="I523">
        <v>2</v>
      </c>
      <c r="J523" t="s">
        <v>45</v>
      </c>
      <c r="K523" t="s">
        <v>32</v>
      </c>
      <c r="L523">
        <v>62</v>
      </c>
      <c r="M523" t="str">
        <f t="shared" si="8"/>
        <v>Old</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1">
        <v>60000</v>
      </c>
      <c r="E527">
        <v>5</v>
      </c>
      <c r="F527" t="s">
        <v>13</v>
      </c>
      <c r="G527" t="s">
        <v>28</v>
      </c>
      <c r="H527" t="s">
        <v>15</v>
      </c>
      <c r="I527">
        <v>3</v>
      </c>
      <c r="J527" t="s">
        <v>45</v>
      </c>
      <c r="K527" t="s">
        <v>32</v>
      </c>
      <c r="L527">
        <v>59</v>
      </c>
      <c r="M527" t="str">
        <f t="shared" si="8"/>
        <v>Old</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Adolscent</v>
      </c>
      <c r="N530" t="s">
        <v>18</v>
      </c>
    </row>
    <row r="531" spans="1:14" x14ac:dyDescent="0.35">
      <c r="A531">
        <v>13233</v>
      </c>
      <c r="B531" t="s">
        <v>36</v>
      </c>
      <c r="C531" t="s">
        <v>39</v>
      </c>
      <c r="D531" s="1">
        <v>60000</v>
      </c>
      <c r="E531">
        <v>2</v>
      </c>
      <c r="F531" t="s">
        <v>19</v>
      </c>
      <c r="G531" t="s">
        <v>21</v>
      </c>
      <c r="H531" t="s">
        <v>15</v>
      </c>
      <c r="I531">
        <v>1</v>
      </c>
      <c r="J531" t="s">
        <v>45</v>
      </c>
      <c r="K531" t="s">
        <v>32</v>
      </c>
      <c r="L531">
        <v>57</v>
      </c>
      <c r="M531" t="str">
        <f t="shared" si="8"/>
        <v>Old</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Adolscent</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Adolscent</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1">
        <v>60000</v>
      </c>
      <c r="E535">
        <v>3</v>
      </c>
      <c r="F535" t="s">
        <v>13</v>
      </c>
      <c r="G535" t="s">
        <v>28</v>
      </c>
      <c r="H535" t="s">
        <v>15</v>
      </c>
      <c r="I535">
        <v>2</v>
      </c>
      <c r="J535" t="s">
        <v>45</v>
      </c>
      <c r="K535" t="s">
        <v>32</v>
      </c>
      <c r="L535">
        <v>66</v>
      </c>
      <c r="M535" t="str">
        <f t="shared" si="8"/>
        <v>Old</v>
      </c>
      <c r="N535" t="s">
        <v>18</v>
      </c>
    </row>
    <row r="536" spans="1:14" x14ac:dyDescent="0.35">
      <c r="A536">
        <v>24637</v>
      </c>
      <c r="B536" t="s">
        <v>36</v>
      </c>
      <c r="C536" t="s">
        <v>39</v>
      </c>
      <c r="D536" s="1">
        <v>40000</v>
      </c>
      <c r="E536">
        <v>4</v>
      </c>
      <c r="F536" t="s">
        <v>27</v>
      </c>
      <c r="G536" t="s">
        <v>21</v>
      </c>
      <c r="H536" t="s">
        <v>15</v>
      </c>
      <c r="I536">
        <v>2</v>
      </c>
      <c r="J536" t="s">
        <v>45</v>
      </c>
      <c r="K536" t="s">
        <v>32</v>
      </c>
      <c r="L536">
        <v>64</v>
      </c>
      <c r="M536" t="str">
        <f t="shared" si="8"/>
        <v>Old</v>
      </c>
      <c r="N536" t="s">
        <v>18</v>
      </c>
    </row>
    <row r="537" spans="1:14" x14ac:dyDescent="0.35">
      <c r="A537">
        <v>23893</v>
      </c>
      <c r="B537" t="s">
        <v>36</v>
      </c>
      <c r="C537" t="s">
        <v>39</v>
      </c>
      <c r="D537" s="1">
        <v>50000</v>
      </c>
      <c r="E537">
        <v>3</v>
      </c>
      <c r="F537" t="s">
        <v>13</v>
      </c>
      <c r="G537" t="s">
        <v>14</v>
      </c>
      <c r="H537" t="s">
        <v>15</v>
      </c>
      <c r="I537">
        <v>3</v>
      </c>
      <c r="J537" t="s">
        <v>45</v>
      </c>
      <c r="K537" t="s">
        <v>32</v>
      </c>
      <c r="L537">
        <v>41</v>
      </c>
      <c r="M537" t="str">
        <f t="shared" si="8"/>
        <v>Middle age</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Adolscent</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Adolscent</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1">
        <v>50000</v>
      </c>
      <c r="E553">
        <v>4</v>
      </c>
      <c r="F553" t="s">
        <v>13</v>
      </c>
      <c r="G553" t="s">
        <v>28</v>
      </c>
      <c r="H553" t="s">
        <v>15</v>
      </c>
      <c r="I553">
        <v>2</v>
      </c>
      <c r="J553" t="s">
        <v>45</v>
      </c>
      <c r="K553" t="s">
        <v>32</v>
      </c>
      <c r="L553">
        <v>63</v>
      </c>
      <c r="M553" t="str">
        <f t="shared" si="8"/>
        <v>Old</v>
      </c>
      <c r="N553" t="s">
        <v>18</v>
      </c>
    </row>
    <row r="554" spans="1:14" x14ac:dyDescent="0.35">
      <c r="A554">
        <v>14417</v>
      </c>
      <c r="B554" t="s">
        <v>37</v>
      </c>
      <c r="C554" t="s">
        <v>39</v>
      </c>
      <c r="D554" s="1">
        <v>60000</v>
      </c>
      <c r="E554">
        <v>3</v>
      </c>
      <c r="F554" t="s">
        <v>27</v>
      </c>
      <c r="G554" t="s">
        <v>21</v>
      </c>
      <c r="H554" t="s">
        <v>15</v>
      </c>
      <c r="I554">
        <v>2</v>
      </c>
      <c r="J554" t="s">
        <v>45</v>
      </c>
      <c r="K554" t="s">
        <v>32</v>
      </c>
      <c r="L554">
        <v>54</v>
      </c>
      <c r="M554" t="str">
        <f t="shared" si="8"/>
        <v>Middle age</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1">
        <v>60000</v>
      </c>
      <c r="E561">
        <v>2</v>
      </c>
      <c r="F561" t="s">
        <v>13</v>
      </c>
      <c r="G561" t="s">
        <v>28</v>
      </c>
      <c r="H561" t="s">
        <v>15</v>
      </c>
      <c r="I561">
        <v>0</v>
      </c>
      <c r="J561" t="s">
        <v>45</v>
      </c>
      <c r="K561" t="s">
        <v>32</v>
      </c>
      <c r="L561">
        <v>58</v>
      </c>
      <c r="M561" t="str">
        <f t="shared" si="8"/>
        <v>Old</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Adolscent</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Adolscent</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1">
        <v>50000</v>
      </c>
      <c r="E571">
        <v>3</v>
      </c>
      <c r="F571" t="s">
        <v>31</v>
      </c>
      <c r="G571" t="s">
        <v>28</v>
      </c>
      <c r="H571" t="s">
        <v>15</v>
      </c>
      <c r="I571">
        <v>2</v>
      </c>
      <c r="J571" t="s">
        <v>45</v>
      </c>
      <c r="K571" t="s">
        <v>32</v>
      </c>
      <c r="L571">
        <v>69</v>
      </c>
      <c r="M571" t="str">
        <f t="shared" si="8"/>
        <v>Old</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Adolscent</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1">
        <v>60000</v>
      </c>
      <c r="E577">
        <v>2</v>
      </c>
      <c r="F577" t="s">
        <v>19</v>
      </c>
      <c r="G577" t="s">
        <v>21</v>
      </c>
      <c r="H577" t="s">
        <v>15</v>
      </c>
      <c r="I577">
        <v>1</v>
      </c>
      <c r="J577" t="s">
        <v>45</v>
      </c>
      <c r="K577" t="s">
        <v>32</v>
      </c>
      <c r="L577">
        <v>56</v>
      </c>
      <c r="M577" t="str">
        <f t="shared" si="8"/>
        <v>Old</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ref="M578:M641" si="9">IF(L578&gt;54,"Old",IF(L578&gt;=31,"Middle age",IF(L578&lt;31,"Adolscent")))</f>
        <v>Middle age</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si="9"/>
        <v>Middle age</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1">
        <v>60000</v>
      </c>
      <c r="E582">
        <v>3</v>
      </c>
      <c r="F582" t="s">
        <v>31</v>
      </c>
      <c r="G582" t="s">
        <v>28</v>
      </c>
      <c r="H582" t="s">
        <v>15</v>
      </c>
      <c r="I582">
        <v>2</v>
      </c>
      <c r="J582" t="s">
        <v>45</v>
      </c>
      <c r="K582" t="s">
        <v>32</v>
      </c>
      <c r="L582">
        <v>69</v>
      </c>
      <c r="M582" t="str">
        <f t="shared" si="9"/>
        <v>Old</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Adolscent</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1">
        <v>60000</v>
      </c>
      <c r="E585">
        <v>3</v>
      </c>
      <c r="F585" t="s">
        <v>13</v>
      </c>
      <c r="G585" t="s">
        <v>28</v>
      </c>
      <c r="H585" t="s">
        <v>15</v>
      </c>
      <c r="I585">
        <v>2</v>
      </c>
      <c r="J585" t="s">
        <v>45</v>
      </c>
      <c r="K585" t="s">
        <v>32</v>
      </c>
      <c r="L585">
        <v>66</v>
      </c>
      <c r="M585" t="str">
        <f t="shared" si="9"/>
        <v>Old</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1">
        <v>90000</v>
      </c>
      <c r="E590">
        <v>2</v>
      </c>
      <c r="F590" t="s">
        <v>27</v>
      </c>
      <c r="G590" t="s">
        <v>21</v>
      </c>
      <c r="H590" t="s">
        <v>15</v>
      </c>
      <c r="I590">
        <v>1</v>
      </c>
      <c r="J590" t="s">
        <v>45</v>
      </c>
      <c r="K590" t="s">
        <v>32</v>
      </c>
      <c r="L590">
        <v>51</v>
      </c>
      <c r="M590" t="str">
        <f t="shared" si="9"/>
        <v>Middle age</v>
      </c>
      <c r="N590" t="s">
        <v>15</v>
      </c>
    </row>
    <row r="591" spans="1:14" x14ac:dyDescent="0.35">
      <c r="A591">
        <v>12100</v>
      </c>
      <c r="B591" t="s">
        <v>37</v>
      </c>
      <c r="C591" t="s">
        <v>39</v>
      </c>
      <c r="D591" s="1">
        <v>60000</v>
      </c>
      <c r="E591">
        <v>2</v>
      </c>
      <c r="F591" t="s">
        <v>13</v>
      </c>
      <c r="G591" t="s">
        <v>28</v>
      </c>
      <c r="H591" t="s">
        <v>15</v>
      </c>
      <c r="I591">
        <v>0</v>
      </c>
      <c r="J591" t="s">
        <v>45</v>
      </c>
      <c r="K591" t="s">
        <v>32</v>
      </c>
      <c r="L591">
        <v>57</v>
      </c>
      <c r="M591" t="str">
        <f t="shared" si="9"/>
        <v>Old</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1">
        <v>40000</v>
      </c>
      <c r="E593">
        <v>4</v>
      </c>
      <c r="F593" t="s">
        <v>27</v>
      </c>
      <c r="G593" t="s">
        <v>21</v>
      </c>
      <c r="H593" t="s">
        <v>18</v>
      </c>
      <c r="I593">
        <v>2</v>
      </c>
      <c r="J593" t="s">
        <v>45</v>
      </c>
      <c r="K593" t="s">
        <v>32</v>
      </c>
      <c r="L593">
        <v>61</v>
      </c>
      <c r="M593" t="str">
        <f t="shared" si="9"/>
        <v>Old</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Adolscent</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1">
        <v>70000</v>
      </c>
      <c r="E609">
        <v>5</v>
      </c>
      <c r="F609" t="s">
        <v>31</v>
      </c>
      <c r="G609" t="s">
        <v>21</v>
      </c>
      <c r="H609" t="s">
        <v>15</v>
      </c>
      <c r="I609">
        <v>3</v>
      </c>
      <c r="J609" t="s">
        <v>45</v>
      </c>
      <c r="K609" t="s">
        <v>32</v>
      </c>
      <c r="L609">
        <v>46</v>
      </c>
      <c r="M609" t="str">
        <f t="shared" si="9"/>
        <v>Middle age</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Adolscent</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Adolscent</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Adolscent</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Adolscent</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Adolscent</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Adolscent</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ref="M642:M705" si="10">IF(L642&gt;54,"Old",IF(L642&gt;=31,"Middle age",IF(L642&lt;31,"Adolscent")))</f>
        <v>Old</v>
      </c>
      <c r="N642" t="s">
        <v>15</v>
      </c>
    </row>
    <row r="643" spans="1:14" x14ac:dyDescent="0.35">
      <c r="A643">
        <v>21441</v>
      </c>
      <c r="B643" t="s">
        <v>36</v>
      </c>
      <c r="C643" t="s">
        <v>39</v>
      </c>
      <c r="D643" s="1">
        <v>50000</v>
      </c>
      <c r="E643">
        <v>4</v>
      </c>
      <c r="F643" t="s">
        <v>13</v>
      </c>
      <c r="G643" t="s">
        <v>28</v>
      </c>
      <c r="H643" t="s">
        <v>15</v>
      </c>
      <c r="I643">
        <v>2</v>
      </c>
      <c r="J643" t="s">
        <v>45</v>
      </c>
      <c r="K643" t="s">
        <v>32</v>
      </c>
      <c r="L643">
        <v>64</v>
      </c>
      <c r="M643" t="str">
        <f t="shared" si="10"/>
        <v>Old</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1">
        <v>60000</v>
      </c>
      <c r="E646">
        <v>5</v>
      </c>
      <c r="F646" t="s">
        <v>13</v>
      </c>
      <c r="G646" t="s">
        <v>14</v>
      </c>
      <c r="H646" t="s">
        <v>15</v>
      </c>
      <c r="I646">
        <v>3</v>
      </c>
      <c r="J646" t="s">
        <v>45</v>
      </c>
      <c r="K646" t="s">
        <v>32</v>
      </c>
      <c r="L646">
        <v>41</v>
      </c>
      <c r="M646" t="str">
        <f t="shared" si="10"/>
        <v>Middle age</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1">
        <v>70000</v>
      </c>
      <c r="E652">
        <v>5</v>
      </c>
      <c r="F652" t="s">
        <v>31</v>
      </c>
      <c r="G652" t="s">
        <v>28</v>
      </c>
      <c r="H652" t="s">
        <v>15</v>
      </c>
      <c r="I652">
        <v>2</v>
      </c>
      <c r="J652" t="s">
        <v>45</v>
      </c>
      <c r="K652" t="s">
        <v>32</v>
      </c>
      <c r="L652">
        <v>67</v>
      </c>
      <c r="M652" t="str">
        <f t="shared" si="10"/>
        <v>Old</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1">
        <v>60000</v>
      </c>
      <c r="E661">
        <v>4</v>
      </c>
      <c r="F661" t="s">
        <v>13</v>
      </c>
      <c r="G661" t="s">
        <v>28</v>
      </c>
      <c r="H661" t="s">
        <v>15</v>
      </c>
      <c r="I661">
        <v>2</v>
      </c>
      <c r="J661" t="s">
        <v>45</v>
      </c>
      <c r="K661" t="s">
        <v>32</v>
      </c>
      <c r="L661">
        <v>63</v>
      </c>
      <c r="M661" t="str">
        <f t="shared" si="10"/>
        <v>Old</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Adolscent</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1">
        <v>40000</v>
      </c>
      <c r="E669">
        <v>5</v>
      </c>
      <c r="F669" t="s">
        <v>27</v>
      </c>
      <c r="G669" t="s">
        <v>21</v>
      </c>
      <c r="H669" t="s">
        <v>18</v>
      </c>
      <c r="I669">
        <v>2</v>
      </c>
      <c r="J669" t="s">
        <v>45</v>
      </c>
      <c r="K669" t="s">
        <v>32</v>
      </c>
      <c r="L669">
        <v>61</v>
      </c>
      <c r="M669" t="str">
        <f t="shared" si="10"/>
        <v>Old</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1">
        <v>70000</v>
      </c>
      <c r="E672">
        <v>2</v>
      </c>
      <c r="F672" t="s">
        <v>19</v>
      </c>
      <c r="G672" t="s">
        <v>21</v>
      </c>
      <c r="H672" t="s">
        <v>15</v>
      </c>
      <c r="I672">
        <v>1</v>
      </c>
      <c r="J672" t="s">
        <v>45</v>
      </c>
      <c r="K672" t="s">
        <v>32</v>
      </c>
      <c r="L672">
        <v>59</v>
      </c>
      <c r="M672" t="str">
        <f t="shared" si="10"/>
        <v>Old</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Adolscent</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1">
        <v>60000</v>
      </c>
      <c r="E681">
        <v>4</v>
      </c>
      <c r="F681" t="s">
        <v>13</v>
      </c>
      <c r="G681" t="s">
        <v>28</v>
      </c>
      <c r="H681" t="s">
        <v>15</v>
      </c>
      <c r="I681">
        <v>2</v>
      </c>
      <c r="J681" t="s">
        <v>45</v>
      </c>
      <c r="K681" t="s">
        <v>32</v>
      </c>
      <c r="L681">
        <v>60</v>
      </c>
      <c r="M681" t="str">
        <f t="shared" si="10"/>
        <v>Old</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Adolscent</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Adolscent</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Adolscent</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Adolscent</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Adolscent</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Adolscent</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ref="M706:M769" si="11">IF(L706&gt;54,"Old",IF(L706&gt;=31,"Middle age",IF(L706&lt;31,"Adolscent")))</f>
        <v>Middle age</v>
      </c>
      <c r="N706" t="s">
        <v>15</v>
      </c>
    </row>
    <row r="707" spans="1:14" x14ac:dyDescent="0.35">
      <c r="A707">
        <v>11199</v>
      </c>
      <c r="B707" t="s">
        <v>36</v>
      </c>
      <c r="C707" t="s">
        <v>38</v>
      </c>
      <c r="D707" s="1">
        <v>70000</v>
      </c>
      <c r="E707">
        <v>4</v>
      </c>
      <c r="F707" t="s">
        <v>13</v>
      </c>
      <c r="G707" t="s">
        <v>28</v>
      </c>
      <c r="H707" t="s">
        <v>15</v>
      </c>
      <c r="I707">
        <v>1</v>
      </c>
      <c r="J707" t="s">
        <v>45</v>
      </c>
      <c r="K707" t="s">
        <v>32</v>
      </c>
      <c r="L707">
        <v>59</v>
      </c>
      <c r="M707" t="str">
        <f t="shared" si="11"/>
        <v>Old</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1">
        <v>70000</v>
      </c>
      <c r="E710">
        <v>5</v>
      </c>
      <c r="F710" t="s">
        <v>13</v>
      </c>
      <c r="G710" t="s">
        <v>28</v>
      </c>
      <c r="H710" t="s">
        <v>15</v>
      </c>
      <c r="I710">
        <v>4</v>
      </c>
      <c r="J710" t="s">
        <v>45</v>
      </c>
      <c r="K710" t="s">
        <v>32</v>
      </c>
      <c r="L710">
        <v>60</v>
      </c>
      <c r="M710" t="str">
        <f t="shared" si="11"/>
        <v>Old</v>
      </c>
      <c r="N710" t="s">
        <v>18</v>
      </c>
    </row>
    <row r="711" spans="1:14" x14ac:dyDescent="0.35">
      <c r="A711">
        <v>23712</v>
      </c>
      <c r="B711" t="s">
        <v>37</v>
      </c>
      <c r="C711" t="s">
        <v>38</v>
      </c>
      <c r="D711" s="1">
        <v>70000</v>
      </c>
      <c r="E711">
        <v>2</v>
      </c>
      <c r="F711" t="s">
        <v>13</v>
      </c>
      <c r="G711" t="s">
        <v>28</v>
      </c>
      <c r="H711" t="s">
        <v>15</v>
      </c>
      <c r="I711">
        <v>1</v>
      </c>
      <c r="J711" t="s">
        <v>45</v>
      </c>
      <c r="K711" t="s">
        <v>32</v>
      </c>
      <c r="L711">
        <v>59</v>
      </c>
      <c r="M711" t="str">
        <f t="shared" si="11"/>
        <v>Old</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1">
        <v>70000</v>
      </c>
      <c r="E713">
        <v>2</v>
      </c>
      <c r="F713" t="s">
        <v>19</v>
      </c>
      <c r="G713" t="s">
        <v>21</v>
      </c>
      <c r="H713" t="s">
        <v>15</v>
      </c>
      <c r="I713">
        <v>1</v>
      </c>
      <c r="J713" t="s">
        <v>45</v>
      </c>
      <c r="K713" t="s">
        <v>32</v>
      </c>
      <c r="L713">
        <v>58</v>
      </c>
      <c r="M713" t="str">
        <f t="shared" si="11"/>
        <v>Old</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Adolscent</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Adolscent</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Adolscent</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1">
        <v>60000</v>
      </c>
      <c r="E741">
        <v>2</v>
      </c>
      <c r="F741" t="s">
        <v>19</v>
      </c>
      <c r="G741" t="s">
        <v>21</v>
      </c>
      <c r="H741" t="s">
        <v>15</v>
      </c>
      <c r="I741">
        <v>1</v>
      </c>
      <c r="J741" t="s">
        <v>45</v>
      </c>
      <c r="K741" t="s">
        <v>32</v>
      </c>
      <c r="L741">
        <v>55</v>
      </c>
      <c r="M741" t="str">
        <f t="shared" si="11"/>
        <v>Old</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Adolscent</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Adolscent</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1">
        <v>70000</v>
      </c>
      <c r="E746">
        <v>4</v>
      </c>
      <c r="F746" t="s">
        <v>19</v>
      </c>
      <c r="G746" t="s">
        <v>21</v>
      </c>
      <c r="H746" t="s">
        <v>15</v>
      </c>
      <c r="I746">
        <v>1</v>
      </c>
      <c r="J746" t="s">
        <v>45</v>
      </c>
      <c r="K746" t="s">
        <v>32</v>
      </c>
      <c r="L746">
        <v>56</v>
      </c>
      <c r="M746" t="str">
        <f t="shared" si="11"/>
        <v>Old</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1">
        <v>60000</v>
      </c>
      <c r="E748">
        <v>2</v>
      </c>
      <c r="F748" t="s">
        <v>13</v>
      </c>
      <c r="G748" t="s">
        <v>28</v>
      </c>
      <c r="H748" t="s">
        <v>15</v>
      </c>
      <c r="I748">
        <v>0</v>
      </c>
      <c r="J748" t="s">
        <v>45</v>
      </c>
      <c r="K748" t="s">
        <v>32</v>
      </c>
      <c r="L748">
        <v>56</v>
      </c>
      <c r="M748" t="str">
        <f t="shared" si="11"/>
        <v>Old</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Adolscent</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1">
        <v>60000</v>
      </c>
      <c r="E763">
        <v>5</v>
      </c>
      <c r="F763" t="s">
        <v>13</v>
      </c>
      <c r="G763" t="s">
        <v>28</v>
      </c>
      <c r="H763" t="s">
        <v>15</v>
      </c>
      <c r="I763">
        <v>3</v>
      </c>
      <c r="J763" t="s">
        <v>45</v>
      </c>
      <c r="K763" t="s">
        <v>32</v>
      </c>
      <c r="L763">
        <v>59</v>
      </c>
      <c r="M763" t="str">
        <f t="shared" si="11"/>
        <v>Old</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Adolscent</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1">
        <v>50000</v>
      </c>
      <c r="E768">
        <v>4</v>
      </c>
      <c r="F768" t="s">
        <v>13</v>
      </c>
      <c r="G768" t="s">
        <v>14</v>
      </c>
      <c r="H768" t="s">
        <v>15</v>
      </c>
      <c r="I768">
        <v>3</v>
      </c>
      <c r="J768" t="s">
        <v>45</v>
      </c>
      <c r="K768" t="s">
        <v>32</v>
      </c>
      <c r="L768">
        <v>42</v>
      </c>
      <c r="M768" t="str">
        <f t="shared" si="11"/>
        <v>Middle age</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ref="M770:M833" si="12">IF(L770&gt;54,"Old",IF(L770&gt;=31,"Middle age",IF(L770&lt;31,"Adolscent")))</f>
        <v>Middle age</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si="12"/>
        <v>Middle age</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1">
        <v>70000</v>
      </c>
      <c r="E777">
        <v>2</v>
      </c>
      <c r="F777" t="s">
        <v>29</v>
      </c>
      <c r="G777" t="s">
        <v>14</v>
      </c>
      <c r="H777" t="s">
        <v>15</v>
      </c>
      <c r="I777">
        <v>2</v>
      </c>
      <c r="J777" t="s">
        <v>45</v>
      </c>
      <c r="K777" t="s">
        <v>32</v>
      </c>
      <c r="L777">
        <v>54</v>
      </c>
      <c r="M777" t="str">
        <f t="shared" si="12"/>
        <v>Middle age</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Adolscent</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1">
        <v>60000</v>
      </c>
      <c r="E782">
        <v>2</v>
      </c>
      <c r="F782" t="s">
        <v>19</v>
      </c>
      <c r="G782" t="s">
        <v>21</v>
      </c>
      <c r="H782" t="s">
        <v>15</v>
      </c>
      <c r="I782">
        <v>1</v>
      </c>
      <c r="J782" t="s">
        <v>45</v>
      </c>
      <c r="K782" t="s">
        <v>32</v>
      </c>
      <c r="L782">
        <v>55</v>
      </c>
      <c r="M782" t="str">
        <f t="shared" si="12"/>
        <v>Old</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Adolscent</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Adolscent</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Adolscent</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Adolscent</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Adolscent</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Adolscent</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Adolscent</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1">
        <v>70000</v>
      </c>
      <c r="E814">
        <v>4</v>
      </c>
      <c r="F814" t="s">
        <v>13</v>
      </c>
      <c r="G814" t="s">
        <v>28</v>
      </c>
      <c r="H814" t="s">
        <v>15</v>
      </c>
      <c r="I814">
        <v>2</v>
      </c>
      <c r="J814" t="s">
        <v>45</v>
      </c>
      <c r="K814" t="s">
        <v>32</v>
      </c>
      <c r="L814">
        <v>61</v>
      </c>
      <c r="M814" t="str">
        <f t="shared" si="12"/>
        <v>Old</v>
      </c>
      <c r="N814" t="s">
        <v>18</v>
      </c>
    </row>
    <row r="815" spans="1:14" x14ac:dyDescent="0.35">
      <c r="A815">
        <v>25899</v>
      </c>
      <c r="B815" t="s">
        <v>36</v>
      </c>
      <c r="C815" t="s">
        <v>38</v>
      </c>
      <c r="D815" s="1">
        <v>70000</v>
      </c>
      <c r="E815">
        <v>2</v>
      </c>
      <c r="F815" t="s">
        <v>27</v>
      </c>
      <c r="G815" t="s">
        <v>21</v>
      </c>
      <c r="H815" t="s">
        <v>15</v>
      </c>
      <c r="I815">
        <v>2</v>
      </c>
      <c r="J815" t="s">
        <v>45</v>
      </c>
      <c r="K815" t="s">
        <v>32</v>
      </c>
      <c r="L815">
        <v>53</v>
      </c>
      <c r="M815" t="str">
        <f t="shared" si="12"/>
        <v>Middle age</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Adolscent</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Adolscent</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Adolscent</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Adolscent</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ref="M834:M897" si="13">IF(L834&gt;54,"Old",IF(L834&gt;=31,"Middle age",IF(L834&lt;31,"Adolscent")))</f>
        <v>Middle age</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si="13"/>
        <v>Middle age</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Adolscent</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1">
        <v>70000</v>
      </c>
      <c r="E842">
        <v>4</v>
      </c>
      <c r="F842" t="s">
        <v>19</v>
      </c>
      <c r="G842" t="s">
        <v>21</v>
      </c>
      <c r="H842" t="s">
        <v>15</v>
      </c>
      <c r="I842">
        <v>2</v>
      </c>
      <c r="J842" t="s">
        <v>45</v>
      </c>
      <c r="K842" t="s">
        <v>32</v>
      </c>
      <c r="L842">
        <v>53</v>
      </c>
      <c r="M842" t="str">
        <f t="shared" si="13"/>
        <v>Middle age</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1">
        <v>40000</v>
      </c>
      <c r="E846">
        <v>5</v>
      </c>
      <c r="F846" t="s">
        <v>27</v>
      </c>
      <c r="G846" t="s">
        <v>21</v>
      </c>
      <c r="H846" t="s">
        <v>15</v>
      </c>
      <c r="I846">
        <v>2</v>
      </c>
      <c r="J846" t="s">
        <v>45</v>
      </c>
      <c r="K846" t="s">
        <v>32</v>
      </c>
      <c r="L846">
        <v>60</v>
      </c>
      <c r="M846" t="str">
        <f t="shared" si="13"/>
        <v>Old</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Adolscent</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Adolscent</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1">
        <v>60000</v>
      </c>
      <c r="E868">
        <v>2</v>
      </c>
      <c r="F868" t="s">
        <v>27</v>
      </c>
      <c r="G868" t="s">
        <v>21</v>
      </c>
      <c r="H868" t="s">
        <v>15</v>
      </c>
      <c r="I868">
        <v>2</v>
      </c>
      <c r="J868" t="s">
        <v>45</v>
      </c>
      <c r="K868" t="s">
        <v>32</v>
      </c>
      <c r="L868">
        <v>55</v>
      </c>
      <c r="M868" t="str">
        <f t="shared" si="13"/>
        <v>Old</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1">
        <v>30000</v>
      </c>
      <c r="E870">
        <v>5</v>
      </c>
      <c r="F870" t="s">
        <v>29</v>
      </c>
      <c r="G870" t="s">
        <v>14</v>
      </c>
      <c r="H870" t="s">
        <v>15</v>
      </c>
      <c r="I870">
        <v>3</v>
      </c>
      <c r="J870" t="s">
        <v>45</v>
      </c>
      <c r="K870" t="s">
        <v>32</v>
      </c>
      <c r="L870">
        <v>60</v>
      </c>
      <c r="M870" t="str">
        <f t="shared" si="13"/>
        <v>Old</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1">
        <v>60000</v>
      </c>
      <c r="E873">
        <v>2</v>
      </c>
      <c r="F873" t="s">
        <v>27</v>
      </c>
      <c r="G873" t="s">
        <v>21</v>
      </c>
      <c r="H873" t="s">
        <v>15</v>
      </c>
      <c r="I873">
        <v>2</v>
      </c>
      <c r="J873" t="s">
        <v>45</v>
      </c>
      <c r="K873" t="s">
        <v>32</v>
      </c>
      <c r="L873">
        <v>55</v>
      </c>
      <c r="M873" t="str">
        <f t="shared" si="13"/>
        <v>Old</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Adolscent</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ref="M898:M961" si="14">IF(L898&gt;54,"Old",IF(L898&gt;=31,"Middle age",IF(L898&lt;31,"Adolscent")))</f>
        <v>Middle age</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si="14"/>
        <v>Adolscent</v>
      </c>
      <c r="N899" t="s">
        <v>18</v>
      </c>
    </row>
    <row r="900" spans="1:14" x14ac:dyDescent="0.35">
      <c r="A900">
        <v>18066</v>
      </c>
      <c r="B900" t="s">
        <v>37</v>
      </c>
      <c r="C900" t="s">
        <v>39</v>
      </c>
      <c r="D900" s="1">
        <v>70000</v>
      </c>
      <c r="E900">
        <v>5</v>
      </c>
      <c r="F900" t="s">
        <v>13</v>
      </c>
      <c r="G900" t="s">
        <v>28</v>
      </c>
      <c r="H900" t="s">
        <v>15</v>
      </c>
      <c r="I900">
        <v>3</v>
      </c>
      <c r="J900" t="s">
        <v>45</v>
      </c>
      <c r="K900" t="s">
        <v>32</v>
      </c>
      <c r="L900">
        <v>60</v>
      </c>
      <c r="M900" t="str">
        <f t="shared" si="14"/>
        <v>Old</v>
      </c>
      <c r="N900" t="s">
        <v>15</v>
      </c>
    </row>
    <row r="901" spans="1:14" x14ac:dyDescent="0.35">
      <c r="A901">
        <v>28192</v>
      </c>
      <c r="B901" t="s">
        <v>36</v>
      </c>
      <c r="C901" t="s">
        <v>38</v>
      </c>
      <c r="D901" s="1">
        <v>70000</v>
      </c>
      <c r="E901">
        <v>5</v>
      </c>
      <c r="F901" t="s">
        <v>31</v>
      </c>
      <c r="G901" t="s">
        <v>21</v>
      </c>
      <c r="H901" t="s">
        <v>15</v>
      </c>
      <c r="I901">
        <v>3</v>
      </c>
      <c r="J901" t="s">
        <v>45</v>
      </c>
      <c r="K901" t="s">
        <v>32</v>
      </c>
      <c r="L901">
        <v>46</v>
      </c>
      <c r="M901" t="str">
        <f t="shared" si="14"/>
        <v>Middle age</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1">
        <v>50000</v>
      </c>
      <c r="E909">
        <v>4</v>
      </c>
      <c r="F909" t="s">
        <v>13</v>
      </c>
      <c r="G909" t="s">
        <v>28</v>
      </c>
      <c r="H909" t="s">
        <v>15</v>
      </c>
      <c r="I909">
        <v>2</v>
      </c>
      <c r="J909" t="s">
        <v>45</v>
      </c>
      <c r="K909" t="s">
        <v>32</v>
      </c>
      <c r="L909">
        <v>63</v>
      </c>
      <c r="M909" t="str">
        <f t="shared" si="14"/>
        <v>Old</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1">
        <v>60000</v>
      </c>
      <c r="E917">
        <v>3</v>
      </c>
      <c r="F917" t="s">
        <v>31</v>
      </c>
      <c r="G917" t="s">
        <v>28</v>
      </c>
      <c r="H917" t="s">
        <v>15</v>
      </c>
      <c r="I917">
        <v>2</v>
      </c>
      <c r="J917" t="s">
        <v>45</v>
      </c>
      <c r="K917" t="s">
        <v>32</v>
      </c>
      <c r="L917">
        <v>64</v>
      </c>
      <c r="M917" t="str">
        <f t="shared" si="14"/>
        <v>Old</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1">
        <v>40000</v>
      </c>
      <c r="E921">
        <v>4</v>
      </c>
      <c r="F921" t="s">
        <v>27</v>
      </c>
      <c r="G921" t="s">
        <v>21</v>
      </c>
      <c r="H921" t="s">
        <v>15</v>
      </c>
      <c r="I921">
        <v>2</v>
      </c>
      <c r="J921" t="s">
        <v>45</v>
      </c>
      <c r="K921" t="s">
        <v>32</v>
      </c>
      <c r="L921">
        <v>61</v>
      </c>
      <c r="M921" t="str">
        <f t="shared" si="14"/>
        <v>Old</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1">
        <v>40000</v>
      </c>
      <c r="E928">
        <v>2</v>
      </c>
      <c r="F928" t="s">
        <v>27</v>
      </c>
      <c r="G928" t="s">
        <v>21</v>
      </c>
      <c r="H928" t="s">
        <v>15</v>
      </c>
      <c r="I928">
        <v>2</v>
      </c>
      <c r="J928" t="s">
        <v>45</v>
      </c>
      <c r="K928" t="s">
        <v>32</v>
      </c>
      <c r="L928">
        <v>57</v>
      </c>
      <c r="M928" t="str">
        <f t="shared" si="14"/>
        <v>Old</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1">
        <v>70000</v>
      </c>
      <c r="E932">
        <v>5</v>
      </c>
      <c r="F932" t="s">
        <v>31</v>
      </c>
      <c r="G932" t="s">
        <v>21</v>
      </c>
      <c r="H932" t="s">
        <v>18</v>
      </c>
      <c r="I932">
        <v>3</v>
      </c>
      <c r="J932" t="s">
        <v>45</v>
      </c>
      <c r="K932" t="s">
        <v>32</v>
      </c>
      <c r="L932">
        <v>47</v>
      </c>
      <c r="M932" t="str">
        <f t="shared" si="14"/>
        <v>Middle age</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Adolscent</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Adolscent</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Adolscent</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1">
        <v>70000</v>
      </c>
      <c r="E951">
        <v>2</v>
      </c>
      <c r="F951" t="s">
        <v>29</v>
      </c>
      <c r="G951" t="s">
        <v>14</v>
      </c>
      <c r="H951" t="s">
        <v>15</v>
      </c>
      <c r="I951">
        <v>2</v>
      </c>
      <c r="J951" t="s">
        <v>45</v>
      </c>
      <c r="K951" t="s">
        <v>32</v>
      </c>
      <c r="L951">
        <v>53</v>
      </c>
      <c r="M951" t="str">
        <f t="shared" si="14"/>
        <v>Middle age</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Adolscent</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Adolscent</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ref="M962:M1001" si="15">IF(L962&gt;54,"Old",IF(L962&gt;=31,"Middle age",IF(L962&lt;31,"Adolscent")))</f>
        <v>Middle age</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si="15"/>
        <v>Old</v>
      </c>
      <c r="N963" t="s">
        <v>18</v>
      </c>
    </row>
    <row r="964" spans="1:14" x14ac:dyDescent="0.35">
      <c r="A964">
        <v>16813</v>
      </c>
      <c r="B964" t="s">
        <v>36</v>
      </c>
      <c r="C964" t="s">
        <v>39</v>
      </c>
      <c r="D964" s="1">
        <v>60000</v>
      </c>
      <c r="E964">
        <v>2</v>
      </c>
      <c r="F964" t="s">
        <v>19</v>
      </c>
      <c r="G964" t="s">
        <v>21</v>
      </c>
      <c r="H964" t="s">
        <v>15</v>
      </c>
      <c r="I964">
        <v>2</v>
      </c>
      <c r="J964" t="s">
        <v>45</v>
      </c>
      <c r="K964" t="s">
        <v>32</v>
      </c>
      <c r="L964">
        <v>55</v>
      </c>
      <c r="M964" t="str">
        <f t="shared" si="15"/>
        <v>Old</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1">
        <v>70000</v>
      </c>
      <c r="E966">
        <v>4</v>
      </c>
      <c r="F966" t="s">
        <v>19</v>
      </c>
      <c r="G966" t="s">
        <v>21</v>
      </c>
      <c r="H966" t="s">
        <v>15</v>
      </c>
      <c r="I966">
        <v>1</v>
      </c>
      <c r="J966" t="s">
        <v>45</v>
      </c>
      <c r="K966" t="s">
        <v>32</v>
      </c>
      <c r="L966">
        <v>56</v>
      </c>
      <c r="M966" t="str">
        <f t="shared" si="15"/>
        <v>Old</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Adolscent</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1">
        <v>60000</v>
      </c>
      <c r="E978">
        <v>3</v>
      </c>
      <c r="F978" t="s">
        <v>13</v>
      </c>
      <c r="G978" t="s">
        <v>28</v>
      </c>
      <c r="H978" t="s">
        <v>15</v>
      </c>
      <c r="I978">
        <v>2</v>
      </c>
      <c r="J978" t="s">
        <v>45</v>
      </c>
      <c r="K978" t="s">
        <v>32</v>
      </c>
      <c r="L978">
        <v>66</v>
      </c>
      <c r="M978" t="str">
        <f t="shared" si="15"/>
        <v>Old</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1">
        <v>80000</v>
      </c>
      <c r="E982">
        <v>3</v>
      </c>
      <c r="F982" t="s">
        <v>13</v>
      </c>
      <c r="G982" t="s">
        <v>14</v>
      </c>
      <c r="H982" t="s">
        <v>15</v>
      </c>
      <c r="I982">
        <v>3</v>
      </c>
      <c r="J982" t="s">
        <v>45</v>
      </c>
      <c r="K982" t="s">
        <v>32</v>
      </c>
      <c r="L982">
        <v>40</v>
      </c>
      <c r="M982" t="str">
        <f t="shared" si="15"/>
        <v>Middle age</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1">
        <v>40000</v>
      </c>
      <c r="E988">
        <v>5</v>
      </c>
      <c r="F988" t="s">
        <v>27</v>
      </c>
      <c r="G988" t="s">
        <v>21</v>
      </c>
      <c r="H988" t="s">
        <v>15</v>
      </c>
      <c r="I988">
        <v>4</v>
      </c>
      <c r="J988" t="s">
        <v>45</v>
      </c>
      <c r="K988" t="s">
        <v>32</v>
      </c>
      <c r="L988">
        <v>60</v>
      </c>
      <c r="M988" t="str">
        <f t="shared" si="15"/>
        <v>Old</v>
      </c>
      <c r="N988" t="s">
        <v>15</v>
      </c>
    </row>
    <row r="989" spans="1:14" x14ac:dyDescent="0.35">
      <c r="A989">
        <v>28972</v>
      </c>
      <c r="B989" t="s">
        <v>37</v>
      </c>
      <c r="C989" t="s">
        <v>38</v>
      </c>
      <c r="D989" s="1">
        <v>60000</v>
      </c>
      <c r="E989">
        <v>3</v>
      </c>
      <c r="F989" t="s">
        <v>31</v>
      </c>
      <c r="G989" t="s">
        <v>28</v>
      </c>
      <c r="H989" t="s">
        <v>15</v>
      </c>
      <c r="I989">
        <v>2</v>
      </c>
      <c r="J989" t="s">
        <v>45</v>
      </c>
      <c r="K989" t="s">
        <v>32</v>
      </c>
      <c r="L989">
        <v>66</v>
      </c>
      <c r="M989" t="str">
        <f t="shared" si="15"/>
        <v>Old</v>
      </c>
      <c r="N989" t="s">
        <v>18</v>
      </c>
    </row>
    <row r="990" spans="1:14" x14ac:dyDescent="0.35">
      <c r="A990">
        <v>22730</v>
      </c>
      <c r="B990" t="s">
        <v>36</v>
      </c>
      <c r="C990" t="s">
        <v>39</v>
      </c>
      <c r="D990" s="1">
        <v>70000</v>
      </c>
      <c r="E990">
        <v>5</v>
      </c>
      <c r="F990" t="s">
        <v>13</v>
      </c>
      <c r="G990" t="s">
        <v>28</v>
      </c>
      <c r="H990" t="s">
        <v>15</v>
      </c>
      <c r="I990">
        <v>2</v>
      </c>
      <c r="J990" t="s">
        <v>45</v>
      </c>
      <c r="K990" t="s">
        <v>32</v>
      </c>
      <c r="L990">
        <v>63</v>
      </c>
      <c r="M990" t="str">
        <f t="shared" si="15"/>
        <v>Old</v>
      </c>
      <c r="N990" t="s">
        <v>18</v>
      </c>
    </row>
    <row r="991" spans="1:14" x14ac:dyDescent="0.35">
      <c r="A991">
        <v>29134</v>
      </c>
      <c r="B991" t="s">
        <v>36</v>
      </c>
      <c r="C991" t="s">
        <v>39</v>
      </c>
      <c r="D991" s="1">
        <v>60000</v>
      </c>
      <c r="E991">
        <v>4</v>
      </c>
      <c r="F991" t="s">
        <v>13</v>
      </c>
      <c r="G991" t="s">
        <v>14</v>
      </c>
      <c r="H991" t="s">
        <v>18</v>
      </c>
      <c r="I991">
        <v>3</v>
      </c>
      <c r="J991" t="s">
        <v>45</v>
      </c>
      <c r="K991" t="s">
        <v>32</v>
      </c>
      <c r="L991">
        <v>42</v>
      </c>
      <c r="M991" t="str">
        <f t="shared" si="15"/>
        <v>Middle age</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Adolscent</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1">
        <v>60000</v>
      </c>
      <c r="E1001">
        <v>3</v>
      </c>
      <c r="F1001" t="s">
        <v>27</v>
      </c>
      <c r="G1001" t="s">
        <v>21</v>
      </c>
      <c r="H1001" t="s">
        <v>15</v>
      </c>
      <c r="I1001">
        <v>2</v>
      </c>
      <c r="J1001" t="s">
        <v>45</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tabSelected="1" workbookViewId="0">
      <selection activeCell="H14" sqref="H14"/>
    </sheetView>
  </sheetViews>
  <sheetFormatPr defaultRowHeight="14.5" x14ac:dyDescent="0.35"/>
  <cols>
    <col min="1" max="1" width="21.54296875" customWidth="1"/>
    <col min="2" max="2" width="15.26953125" customWidth="1"/>
    <col min="3" max="3" width="3.81640625" customWidth="1"/>
    <col min="4" max="4" width="10.7265625" customWidth="1"/>
    <col min="5" max="10" width="9.90625" bestFit="1" customWidth="1"/>
    <col min="11" max="17" width="10.90625" bestFit="1" customWidth="1"/>
    <col min="18" max="18" width="11.81640625" bestFit="1" customWidth="1"/>
  </cols>
  <sheetData>
    <row r="1" spans="1:4" x14ac:dyDescent="0.35">
      <c r="A1" s="3" t="s">
        <v>43</v>
      </c>
      <c r="B1" s="3" t="s">
        <v>42</v>
      </c>
    </row>
    <row r="2" spans="1:4" x14ac:dyDescent="0.35">
      <c r="A2" s="3" t="s">
        <v>2</v>
      </c>
      <c r="B2" t="s">
        <v>18</v>
      </c>
      <c r="C2" t="s">
        <v>15</v>
      </c>
      <c r="D2" t="s">
        <v>41</v>
      </c>
    </row>
    <row r="3" spans="1:4" x14ac:dyDescent="0.35">
      <c r="A3" s="4" t="s">
        <v>38</v>
      </c>
      <c r="B3" s="6">
        <v>53440</v>
      </c>
      <c r="C3" s="6">
        <v>55774.058577405856</v>
      </c>
      <c r="D3" s="6">
        <v>54580.777096114522</v>
      </c>
    </row>
    <row r="4" spans="1:4" x14ac:dyDescent="0.35">
      <c r="A4" s="4" t="s">
        <v>39</v>
      </c>
      <c r="B4" s="6">
        <v>56208.178438661707</v>
      </c>
      <c r="C4" s="6">
        <v>60123.966942148763</v>
      </c>
      <c r="D4" s="6">
        <v>58062.62230919765</v>
      </c>
    </row>
    <row r="5" spans="1:4" x14ac:dyDescent="0.35">
      <c r="A5" s="4" t="s">
        <v>41</v>
      </c>
      <c r="B5" s="6">
        <v>54874.759152215796</v>
      </c>
      <c r="C5" s="6">
        <v>57962.577962577961</v>
      </c>
      <c r="D5" s="6">
        <v>56360</v>
      </c>
    </row>
    <row r="15" spans="1:4" x14ac:dyDescent="0.35">
      <c r="A15" s="3" t="s">
        <v>44</v>
      </c>
      <c r="B15" s="3" t="s">
        <v>42</v>
      </c>
    </row>
    <row r="16" spans="1:4" x14ac:dyDescent="0.35">
      <c r="A16" s="3" t="s">
        <v>9</v>
      </c>
      <c r="B16" t="s">
        <v>15</v>
      </c>
      <c r="C16" t="s">
        <v>18</v>
      </c>
      <c r="D16" t="s">
        <v>41</v>
      </c>
    </row>
    <row r="17" spans="1:4" x14ac:dyDescent="0.35">
      <c r="A17" s="4" t="s">
        <v>16</v>
      </c>
      <c r="B17" s="5">
        <v>200</v>
      </c>
      <c r="C17" s="5">
        <v>166</v>
      </c>
      <c r="D17" s="5">
        <v>366</v>
      </c>
    </row>
    <row r="18" spans="1:4" x14ac:dyDescent="0.35">
      <c r="A18" s="4" t="s">
        <v>26</v>
      </c>
      <c r="B18" s="5">
        <v>77</v>
      </c>
      <c r="C18" s="5">
        <v>92</v>
      </c>
      <c r="D18" s="5">
        <v>169</v>
      </c>
    </row>
    <row r="19" spans="1:4" x14ac:dyDescent="0.35">
      <c r="A19" s="4" t="s">
        <v>22</v>
      </c>
      <c r="B19" s="5">
        <v>95</v>
      </c>
      <c r="C19" s="5">
        <v>67</v>
      </c>
      <c r="D19" s="5">
        <v>162</v>
      </c>
    </row>
    <row r="20" spans="1:4" x14ac:dyDescent="0.35">
      <c r="A20" s="4" t="s">
        <v>23</v>
      </c>
      <c r="B20" s="5">
        <v>76</v>
      </c>
      <c r="C20" s="5">
        <v>116</v>
      </c>
      <c r="D20" s="5">
        <v>192</v>
      </c>
    </row>
    <row r="21" spans="1:4" x14ac:dyDescent="0.35">
      <c r="A21" s="4" t="s">
        <v>45</v>
      </c>
      <c r="B21" s="5">
        <v>33</v>
      </c>
      <c r="C21" s="5">
        <v>78</v>
      </c>
      <c r="D21" s="5">
        <v>111</v>
      </c>
    </row>
    <row r="22" spans="1:4" x14ac:dyDescent="0.35">
      <c r="A22" s="4" t="s">
        <v>41</v>
      </c>
      <c r="B22" s="5">
        <v>481</v>
      </c>
      <c r="C22" s="5">
        <v>519</v>
      </c>
      <c r="D22" s="5">
        <v>1000</v>
      </c>
    </row>
    <row r="33" spans="1:4" x14ac:dyDescent="0.35">
      <c r="A33" s="3" t="s">
        <v>44</v>
      </c>
      <c r="B33" s="3" t="s">
        <v>42</v>
      </c>
    </row>
    <row r="34" spans="1:4" x14ac:dyDescent="0.35">
      <c r="A34" s="3" t="s">
        <v>40</v>
      </c>
      <c r="B34" t="s">
        <v>18</v>
      </c>
      <c r="C34" t="s">
        <v>15</v>
      </c>
      <c r="D34" t="s">
        <v>41</v>
      </c>
    </row>
    <row r="35" spans="1:4" x14ac:dyDescent="0.35">
      <c r="A35" s="4" t="s">
        <v>49</v>
      </c>
      <c r="B35" s="5">
        <v>71</v>
      </c>
      <c r="C35" s="5">
        <v>39</v>
      </c>
      <c r="D35" s="5">
        <v>110</v>
      </c>
    </row>
    <row r="36" spans="1:4" x14ac:dyDescent="0.35">
      <c r="A36" s="4" t="s">
        <v>46</v>
      </c>
      <c r="B36" s="5">
        <v>318</v>
      </c>
      <c r="C36" s="5">
        <v>383</v>
      </c>
      <c r="D36" s="5">
        <v>701</v>
      </c>
    </row>
    <row r="37" spans="1:4" x14ac:dyDescent="0.35">
      <c r="A37" s="4" t="s">
        <v>47</v>
      </c>
      <c r="B37" s="5">
        <v>130</v>
      </c>
      <c r="C37" s="5">
        <v>59</v>
      </c>
      <c r="D37" s="5">
        <v>189</v>
      </c>
    </row>
    <row r="38" spans="1:4" x14ac:dyDescent="0.35">
      <c r="A38" s="4" t="s">
        <v>41</v>
      </c>
      <c r="B38" s="5">
        <v>519</v>
      </c>
      <c r="C38" s="5">
        <v>481</v>
      </c>
      <c r="D38" s="5">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workbookViewId="0">
      <selection activeCell="Q8" sqref="Q8"/>
    </sheetView>
  </sheetViews>
  <sheetFormatPr defaultRowHeight="14.5" x14ac:dyDescent="0.35"/>
  <sheetData>
    <row r="1" spans="1:15" ht="26" customHeight="1" x14ac:dyDescent="0.35">
      <c r="A1" s="7" t="s">
        <v>48</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2026-05-19T20:37:37Z</dcterms:modified>
</cp:coreProperties>
</file>